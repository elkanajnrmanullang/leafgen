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D:\Tugas Akhir\"/>
    </mc:Choice>
  </mc:AlternateContent>
  <xr:revisionPtr revIDLastSave="0" documentId="13_ncr:1_{1B3D6BED-8871-4FEE-A36A-2C998D80A9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2" sheetId="2" r:id="rId1"/>
    <sheet name="Sheet2" sheetId="4" r:id="rId2"/>
    <sheet name="Sheet1" sheetId="3" r:id="rId3"/>
  </sheets>
  <externalReferences>
    <externalReference r:id="rId4"/>
    <externalReference r:id="rId5"/>
    <externalReference r:id="rId6"/>
  </externalReferences>
  <definedNames>
    <definedName name="_xlnm._FilterDatabase" localSheetId="0" hidden="1">'42'!#REF!</definedName>
  </definedNames>
  <calcPr calcId="191029"/>
</workbook>
</file>

<file path=xl/calcChain.xml><?xml version="1.0" encoding="utf-8"?>
<calcChain xmlns="http://schemas.openxmlformats.org/spreadsheetml/2006/main">
  <c r="AC117" i="2" l="1"/>
  <c r="AB117" i="2"/>
  <c r="AA117" i="2"/>
  <c r="U117" i="2"/>
  <c r="P117" i="2"/>
  <c r="AC116" i="2"/>
  <c r="AB116" i="2"/>
  <c r="AA116" i="2"/>
  <c r="Q116" i="2"/>
  <c r="U116" i="2" s="1"/>
  <c r="O116" i="2"/>
  <c r="N116" i="2"/>
  <c r="AC115" i="2"/>
  <c r="AB115" i="2"/>
  <c r="AA115" i="2"/>
  <c r="Q115" i="2"/>
  <c r="U115" i="2" s="1"/>
  <c r="O115" i="2"/>
  <c r="P115" i="2" s="1"/>
  <c r="N115" i="2"/>
  <c r="AC114" i="2"/>
  <c r="AB114" i="2"/>
  <c r="AA114" i="2"/>
  <c r="Q114" i="2"/>
  <c r="U114" i="2" s="1"/>
  <c r="O114" i="2"/>
  <c r="N114" i="2"/>
  <c r="AC113" i="2"/>
  <c r="AB113" i="2"/>
  <c r="AA113" i="2"/>
  <c r="U113" i="2"/>
  <c r="P113" i="2"/>
  <c r="AC112" i="2"/>
  <c r="AB112" i="2"/>
  <c r="AA112" i="2"/>
  <c r="U112" i="2"/>
  <c r="P112" i="2"/>
  <c r="AC111" i="2"/>
  <c r="AB111" i="2"/>
  <c r="AA111" i="2"/>
  <c r="U111" i="2"/>
  <c r="P111" i="2"/>
  <c r="AC110" i="2"/>
  <c r="AB110" i="2"/>
  <c r="AA110" i="2"/>
  <c r="U110" i="2"/>
  <c r="P110" i="2"/>
  <c r="AC109" i="2"/>
  <c r="AB109" i="2"/>
  <c r="AA109" i="2"/>
  <c r="U109" i="2"/>
  <c r="P109" i="2"/>
  <c r="AC108" i="2"/>
  <c r="AB108" i="2"/>
  <c r="AA108" i="2"/>
  <c r="U108" i="2"/>
  <c r="P108" i="2"/>
  <c r="AC107" i="2"/>
  <c r="AB107" i="2"/>
  <c r="AA107" i="2"/>
  <c r="U107" i="2"/>
  <c r="P107" i="2"/>
  <c r="AC106" i="2"/>
  <c r="AB106" i="2"/>
  <c r="AA106" i="2"/>
  <c r="U106" i="2"/>
  <c r="P106" i="2"/>
  <c r="AC105" i="2"/>
  <c r="AB105" i="2"/>
  <c r="AA105" i="2"/>
  <c r="U105" i="2"/>
  <c r="P105" i="2"/>
  <c r="AC104" i="2"/>
  <c r="AB104" i="2"/>
  <c r="AA104" i="2"/>
  <c r="U104" i="2"/>
  <c r="P104" i="2"/>
  <c r="AC103" i="2"/>
  <c r="AB103" i="2"/>
  <c r="AA103" i="2"/>
  <c r="U103" i="2"/>
  <c r="P103" i="2"/>
  <c r="AC102" i="2"/>
  <c r="AB102" i="2"/>
  <c r="AA102" i="2"/>
  <c r="U102" i="2"/>
  <c r="P102" i="2"/>
  <c r="AC101" i="2"/>
  <c r="AB101" i="2"/>
  <c r="AA101" i="2"/>
  <c r="U101" i="2"/>
  <c r="P101" i="2"/>
  <c r="AC100" i="2"/>
  <c r="AB100" i="2"/>
  <c r="AA100" i="2"/>
  <c r="U100" i="2"/>
  <c r="P100" i="2"/>
  <c r="AC99" i="2"/>
  <c r="AB99" i="2"/>
  <c r="AA99" i="2"/>
  <c r="U99" i="2"/>
  <c r="P99" i="2"/>
  <c r="AC98" i="2"/>
  <c r="AB98" i="2"/>
  <c r="AA98" i="2"/>
  <c r="U98" i="2"/>
  <c r="P98" i="2"/>
  <c r="AC97" i="2"/>
  <c r="AB97" i="2"/>
  <c r="AA97" i="2"/>
  <c r="U97" i="2"/>
  <c r="P97" i="2"/>
  <c r="AC96" i="2"/>
  <c r="AB96" i="2"/>
  <c r="AA96" i="2"/>
  <c r="U96" i="2"/>
  <c r="P96" i="2"/>
  <c r="AC95" i="2"/>
  <c r="AB95" i="2"/>
  <c r="AA95" i="2"/>
  <c r="U95" i="2"/>
  <c r="P95" i="2"/>
  <c r="AC94" i="2"/>
  <c r="AB94" i="2"/>
  <c r="AA94" i="2"/>
  <c r="U94" i="2"/>
  <c r="P94" i="2"/>
  <c r="AC93" i="2"/>
  <c r="AB93" i="2"/>
  <c r="AA93" i="2"/>
  <c r="U93" i="2"/>
  <c r="P93" i="2"/>
  <c r="AC92" i="2"/>
  <c r="AB92" i="2"/>
  <c r="AA92" i="2"/>
  <c r="U92" i="2"/>
  <c r="P92" i="2"/>
  <c r="AC91" i="2"/>
  <c r="AB91" i="2"/>
  <c r="AA91" i="2"/>
  <c r="U91" i="2"/>
  <c r="P91" i="2"/>
  <c r="AC90" i="2"/>
  <c r="AB90" i="2"/>
  <c r="AA90" i="2"/>
  <c r="U90" i="2"/>
  <c r="P90" i="2"/>
  <c r="AC89" i="2"/>
  <c r="AB89" i="2"/>
  <c r="AA89" i="2"/>
  <c r="U89" i="2"/>
  <c r="P89" i="2"/>
  <c r="AC88" i="2"/>
  <c r="AB88" i="2"/>
  <c r="AA88" i="2"/>
  <c r="U88" i="2"/>
  <c r="P88" i="2"/>
  <c r="AC87" i="2"/>
  <c r="AB87" i="2"/>
  <c r="AA87" i="2"/>
  <c r="U87" i="2"/>
  <c r="P87" i="2"/>
  <c r="AC86" i="2"/>
  <c r="AB86" i="2"/>
  <c r="AA86" i="2"/>
  <c r="U86" i="2"/>
  <c r="N86" i="2"/>
  <c r="I86" i="2"/>
  <c r="H86" i="2"/>
  <c r="O86" i="2" s="1"/>
  <c r="P86" i="2" s="1"/>
  <c r="G86" i="2"/>
  <c r="AC85" i="2"/>
  <c r="AB85" i="2"/>
  <c r="AA85" i="2"/>
  <c r="U85" i="2"/>
  <c r="G85" i="2"/>
  <c r="H85" i="2" s="1"/>
  <c r="AC84" i="2"/>
  <c r="AB84" i="2"/>
  <c r="AA84" i="2"/>
  <c r="U84" i="2"/>
  <c r="G84" i="2"/>
  <c r="N84" i="2" s="1"/>
  <c r="AC83" i="2"/>
  <c r="AB83" i="2"/>
  <c r="AA83" i="2"/>
  <c r="U83" i="2"/>
  <c r="G83" i="2"/>
  <c r="AC82" i="2"/>
  <c r="AB82" i="2"/>
  <c r="AA82" i="2"/>
  <c r="U82" i="2"/>
  <c r="O82" i="2"/>
  <c r="P82" i="2" s="1"/>
  <c r="N82" i="2"/>
  <c r="K82" i="2"/>
  <c r="H82" i="2"/>
  <c r="G82" i="2"/>
  <c r="I82" i="2" s="1"/>
  <c r="AC81" i="2"/>
  <c r="AB81" i="2"/>
  <c r="AA81" i="2"/>
  <c r="U81" i="2"/>
  <c r="K81" i="2"/>
  <c r="G81" i="2"/>
  <c r="N81" i="2" s="1"/>
  <c r="AC80" i="2"/>
  <c r="AB80" i="2"/>
  <c r="AA80" i="2"/>
  <c r="U80" i="2"/>
  <c r="K80" i="2"/>
  <c r="H80" i="2"/>
  <c r="I80" i="2" s="1"/>
  <c r="G80" i="2"/>
  <c r="N80" i="2" s="1"/>
  <c r="AC79" i="2"/>
  <c r="AB79" i="2"/>
  <c r="AA79" i="2"/>
  <c r="U79" i="2"/>
  <c r="N79" i="2"/>
  <c r="K79" i="2"/>
  <c r="G79" i="2"/>
  <c r="AC78" i="2"/>
  <c r="AB78" i="2"/>
  <c r="AA78" i="2"/>
  <c r="U78" i="2"/>
  <c r="K78" i="2"/>
  <c r="G78" i="2"/>
  <c r="H78" i="2" s="1"/>
  <c r="O78" i="2" s="1"/>
  <c r="P78" i="2" s="1"/>
  <c r="AC77" i="2"/>
  <c r="AB77" i="2"/>
  <c r="AA77" i="2"/>
  <c r="U77" i="2"/>
  <c r="K77" i="2"/>
  <c r="G77" i="2"/>
  <c r="H77" i="2" s="1"/>
  <c r="AC75" i="2"/>
  <c r="AB75" i="2"/>
  <c r="AA75" i="2"/>
  <c r="U75" i="2"/>
  <c r="P75" i="2"/>
  <c r="AC74" i="2"/>
  <c r="AB74" i="2"/>
  <c r="AA74" i="2"/>
  <c r="U74" i="2"/>
  <c r="P74" i="2"/>
  <c r="AC73" i="2"/>
  <c r="AB73" i="2"/>
  <c r="AA73" i="2"/>
  <c r="U73" i="2"/>
  <c r="P73" i="2"/>
  <c r="AC72" i="2"/>
  <c r="AB72" i="2"/>
  <c r="AA72" i="2"/>
  <c r="U72" i="2"/>
  <c r="P72" i="2"/>
  <c r="AC71" i="2"/>
  <c r="AB71" i="2"/>
  <c r="AA71" i="2"/>
  <c r="U71" i="2"/>
  <c r="P71" i="2"/>
  <c r="AC70" i="2"/>
  <c r="AB70" i="2"/>
  <c r="AA70" i="2"/>
  <c r="U70" i="2"/>
  <c r="P70" i="2"/>
  <c r="AC69" i="2"/>
  <c r="AB69" i="2"/>
  <c r="AA69" i="2"/>
  <c r="U69" i="2"/>
  <c r="P69" i="2"/>
  <c r="AC68" i="2"/>
  <c r="AB68" i="2"/>
  <c r="AA68" i="2"/>
  <c r="U68" i="2"/>
  <c r="P68" i="2"/>
  <c r="AC67" i="2"/>
  <c r="AB67" i="2"/>
  <c r="AA67" i="2"/>
  <c r="U67" i="2"/>
  <c r="P67" i="2"/>
  <c r="AC66" i="2"/>
  <c r="AB66" i="2"/>
  <c r="AA66" i="2"/>
  <c r="U66" i="2"/>
  <c r="P66" i="2"/>
  <c r="AC65" i="2"/>
  <c r="AB65" i="2"/>
  <c r="AA65" i="2"/>
  <c r="U65" i="2"/>
  <c r="P65" i="2"/>
  <c r="AC64" i="2"/>
  <c r="AB64" i="2"/>
  <c r="AA64" i="2"/>
  <c r="U64" i="2"/>
  <c r="P64" i="2"/>
  <c r="AC63" i="2"/>
  <c r="AB63" i="2"/>
  <c r="AA63" i="2"/>
  <c r="U63" i="2"/>
  <c r="P63" i="2"/>
  <c r="AC62" i="2"/>
  <c r="AB62" i="2"/>
  <c r="AA62" i="2"/>
  <c r="U62" i="2"/>
  <c r="P62" i="2"/>
  <c r="AC61" i="2"/>
  <c r="AB61" i="2"/>
  <c r="AA61" i="2"/>
  <c r="U61" i="2"/>
  <c r="P61" i="2"/>
  <c r="AC60" i="2"/>
  <c r="AB60" i="2"/>
  <c r="AA60" i="2"/>
  <c r="U60" i="2"/>
  <c r="P60" i="2"/>
  <c r="AC59" i="2"/>
  <c r="AB59" i="2"/>
  <c r="AA59" i="2"/>
  <c r="U59" i="2"/>
  <c r="P59" i="2"/>
  <c r="AC58" i="2"/>
  <c r="AB58" i="2"/>
  <c r="AA58" i="2"/>
  <c r="U58" i="2"/>
  <c r="P58" i="2"/>
  <c r="AC57" i="2"/>
  <c r="AB57" i="2"/>
  <c r="AA57" i="2"/>
  <c r="U57" i="2"/>
  <c r="P57" i="2"/>
  <c r="AC56" i="2"/>
  <c r="AB56" i="2"/>
  <c r="AA56" i="2"/>
  <c r="U56" i="2"/>
  <c r="P56" i="2"/>
  <c r="AC55" i="2"/>
  <c r="AB55" i="2"/>
  <c r="AA55" i="2"/>
  <c r="U55" i="2"/>
  <c r="P55" i="2"/>
  <c r="AC54" i="2"/>
  <c r="AB54" i="2"/>
  <c r="AA54" i="2"/>
  <c r="U54" i="2"/>
  <c r="P54" i="2"/>
  <c r="AC53" i="2"/>
  <c r="AB53" i="2"/>
  <c r="AA53" i="2"/>
  <c r="U53" i="2"/>
  <c r="P53" i="2"/>
  <c r="AC52" i="2"/>
  <c r="AB52" i="2"/>
  <c r="AA52" i="2"/>
  <c r="U52" i="2"/>
  <c r="P52" i="2"/>
  <c r="G52" i="2"/>
  <c r="AC51" i="2"/>
  <c r="AB51" i="2"/>
  <c r="AA51" i="2"/>
  <c r="U51" i="2"/>
  <c r="P51" i="2"/>
  <c r="G51" i="2"/>
  <c r="AC50" i="2"/>
  <c r="AB50" i="2"/>
  <c r="AA50" i="2"/>
  <c r="U50" i="2"/>
  <c r="P50" i="2"/>
  <c r="AC49" i="2"/>
  <c r="AB49" i="2"/>
  <c r="AA49" i="2"/>
  <c r="U49" i="2"/>
  <c r="P49" i="2"/>
  <c r="AC48" i="2"/>
  <c r="AB48" i="2"/>
  <c r="AA48" i="2"/>
  <c r="U48" i="2"/>
  <c r="P48" i="2"/>
  <c r="AC47" i="2"/>
  <c r="AB47" i="2"/>
  <c r="AA47" i="2"/>
  <c r="U47" i="2"/>
  <c r="P47" i="2"/>
  <c r="AC46" i="2"/>
  <c r="AB46" i="2"/>
  <c r="AA46" i="2"/>
  <c r="U46" i="2"/>
  <c r="P46" i="2"/>
  <c r="AC45" i="2"/>
  <c r="AB45" i="2"/>
  <c r="AA45" i="2"/>
  <c r="U45" i="2"/>
  <c r="P45" i="2"/>
  <c r="AC44" i="2"/>
  <c r="AB44" i="2"/>
  <c r="AA44" i="2"/>
  <c r="U44" i="2"/>
  <c r="P44" i="2"/>
  <c r="AC43" i="2"/>
  <c r="AB43" i="2"/>
  <c r="AA43" i="2"/>
  <c r="U43" i="2"/>
  <c r="P43" i="2"/>
  <c r="AC42" i="2"/>
  <c r="AB42" i="2"/>
  <c r="AA42" i="2"/>
  <c r="R42" i="2"/>
  <c r="U42" i="2" s="1"/>
  <c r="P42" i="2"/>
  <c r="AC41" i="2"/>
  <c r="AB41" i="2"/>
  <c r="AA41" i="2"/>
  <c r="U41" i="2"/>
  <c r="AC40" i="2"/>
  <c r="AB40" i="2"/>
  <c r="AA40" i="2"/>
  <c r="U40" i="2"/>
  <c r="P40" i="2"/>
  <c r="AC39" i="2"/>
  <c r="AB39" i="2"/>
  <c r="AA39" i="2"/>
  <c r="U39" i="2"/>
  <c r="P39" i="2"/>
  <c r="H39" i="2"/>
  <c r="I39" i="2" s="1"/>
  <c r="AC38" i="2"/>
  <c r="AB38" i="2"/>
  <c r="AA38" i="2"/>
  <c r="U38" i="2"/>
  <c r="P38" i="2"/>
  <c r="H38" i="2"/>
  <c r="I38" i="2" s="1"/>
  <c r="AC37" i="2"/>
  <c r="AB37" i="2"/>
  <c r="AA37" i="2"/>
  <c r="U37" i="2"/>
  <c r="P37" i="2"/>
  <c r="H37" i="2"/>
  <c r="I37" i="2" s="1"/>
  <c r="AC36" i="2"/>
  <c r="AB36" i="2"/>
  <c r="AA36" i="2"/>
  <c r="U36" i="2"/>
  <c r="P36" i="2"/>
  <c r="H36" i="2"/>
  <c r="I36" i="2" s="1"/>
  <c r="AC35" i="2"/>
  <c r="AB35" i="2"/>
  <c r="AA35" i="2"/>
  <c r="U35" i="2"/>
  <c r="P35" i="2"/>
  <c r="I35" i="2"/>
  <c r="H35" i="2"/>
  <c r="AC34" i="2"/>
  <c r="AB34" i="2"/>
  <c r="AA34" i="2"/>
  <c r="U34" i="2"/>
  <c r="P34" i="2"/>
  <c r="I34" i="2"/>
  <c r="H34" i="2"/>
  <c r="AC33" i="2"/>
  <c r="AB33" i="2"/>
  <c r="AA33" i="2"/>
  <c r="U33" i="2"/>
  <c r="P33" i="2"/>
  <c r="I33" i="2"/>
  <c r="H33" i="2"/>
  <c r="AC32" i="2"/>
  <c r="AB32" i="2"/>
  <c r="AA32" i="2"/>
  <c r="U32" i="2"/>
  <c r="P32" i="2"/>
  <c r="I32" i="2"/>
  <c r="H32" i="2"/>
  <c r="AC31" i="2"/>
  <c r="AB31" i="2"/>
  <c r="AA31" i="2"/>
  <c r="U31" i="2"/>
  <c r="O31" i="2"/>
  <c r="P31" i="2" s="1"/>
  <c r="J31" i="2"/>
  <c r="G31" i="2"/>
  <c r="H31" i="2" s="1"/>
  <c r="AC30" i="2"/>
  <c r="AB30" i="2"/>
  <c r="AA30" i="2"/>
  <c r="U30" i="2"/>
  <c r="O30" i="2"/>
  <c r="P30" i="2" s="1"/>
  <c r="J30" i="2"/>
  <c r="G30" i="2"/>
  <c r="H30" i="2" s="1"/>
  <c r="AC29" i="2"/>
  <c r="AB29" i="2"/>
  <c r="AA29" i="2"/>
  <c r="U29" i="2"/>
  <c r="O29" i="2"/>
  <c r="P29" i="2" s="1"/>
  <c r="J29" i="2"/>
  <c r="G29" i="2"/>
  <c r="H29" i="2" s="1"/>
  <c r="AC28" i="2"/>
  <c r="AB28" i="2"/>
  <c r="AA28" i="2"/>
  <c r="U28" i="2"/>
  <c r="P28" i="2"/>
  <c r="O28" i="2"/>
  <c r="J28" i="2"/>
  <c r="G28" i="2"/>
  <c r="H28" i="2" s="1"/>
  <c r="AC27" i="2"/>
  <c r="AB27" i="2"/>
  <c r="AA27" i="2"/>
  <c r="U27" i="2"/>
  <c r="O27" i="2"/>
  <c r="P27" i="2" s="1"/>
  <c r="J27" i="2"/>
  <c r="G27" i="2"/>
  <c r="H27" i="2" s="1"/>
  <c r="I27" i="2" s="1"/>
  <c r="AC26" i="2"/>
  <c r="AB26" i="2"/>
  <c r="AA26" i="2"/>
  <c r="U26" i="2"/>
  <c r="O26" i="2"/>
  <c r="P26" i="2" s="1"/>
  <c r="J26" i="2"/>
  <c r="G26" i="2"/>
  <c r="H26" i="2" s="1"/>
  <c r="AC25" i="2"/>
  <c r="AB25" i="2"/>
  <c r="AA25" i="2"/>
  <c r="U25" i="2"/>
  <c r="O25" i="2"/>
  <c r="P25" i="2" s="1"/>
  <c r="J25" i="2"/>
  <c r="H25" i="2"/>
  <c r="G25" i="2"/>
  <c r="AC24" i="2"/>
  <c r="AB24" i="2"/>
  <c r="AA24" i="2"/>
  <c r="U24" i="2"/>
  <c r="O24" i="2"/>
  <c r="P24" i="2" s="1"/>
  <c r="J24" i="2"/>
  <c r="H24" i="2"/>
  <c r="G24" i="2"/>
  <c r="AC23" i="2"/>
  <c r="AB23" i="2"/>
  <c r="AA23" i="2"/>
  <c r="U23" i="2"/>
  <c r="O23" i="2"/>
  <c r="P23" i="2" s="1"/>
  <c r="J23" i="2"/>
  <c r="G23" i="2"/>
  <c r="H23" i="2" s="1"/>
  <c r="AC22" i="2"/>
  <c r="AB22" i="2"/>
  <c r="AA22" i="2"/>
  <c r="U22" i="2"/>
  <c r="P22" i="2"/>
  <c r="O22" i="2"/>
  <c r="J22" i="2"/>
  <c r="G22" i="2"/>
  <c r="H22" i="2" s="1"/>
  <c r="AC21" i="2"/>
  <c r="AB21" i="2"/>
  <c r="AA21" i="2"/>
  <c r="U21" i="2"/>
  <c r="O21" i="2"/>
  <c r="P21" i="2" s="1"/>
  <c r="J21" i="2"/>
  <c r="G21" i="2"/>
  <c r="H21" i="2" s="1"/>
  <c r="AC20" i="2"/>
  <c r="AB20" i="2"/>
  <c r="AA20" i="2"/>
  <c r="U20" i="2"/>
  <c r="O20" i="2"/>
  <c r="P20" i="2" s="1"/>
  <c r="J20" i="2"/>
  <c r="G20" i="2"/>
  <c r="H20" i="2" s="1"/>
  <c r="AC19" i="2"/>
  <c r="AB19" i="2"/>
  <c r="AA19" i="2"/>
  <c r="U19" i="2"/>
  <c r="O19" i="2"/>
  <c r="P19" i="2" s="1"/>
  <c r="J19" i="2"/>
  <c r="H19" i="2"/>
  <c r="G19" i="2"/>
  <c r="AC18" i="2"/>
  <c r="AB18" i="2"/>
  <c r="AA18" i="2"/>
  <c r="U18" i="2"/>
  <c r="O18" i="2"/>
  <c r="P18" i="2" s="1"/>
  <c r="J18" i="2"/>
  <c r="G18" i="2"/>
  <c r="H18" i="2" s="1"/>
  <c r="AC17" i="2"/>
  <c r="AB17" i="2"/>
  <c r="AA17" i="2"/>
  <c r="U17" i="2"/>
  <c r="O17" i="2"/>
  <c r="P17" i="2" s="1"/>
  <c r="J17" i="2"/>
  <c r="G17" i="2"/>
  <c r="H17" i="2" s="1"/>
  <c r="AC16" i="2"/>
  <c r="AB16" i="2"/>
  <c r="AA16" i="2"/>
  <c r="U16" i="2"/>
  <c r="G16" i="2"/>
  <c r="H16" i="2" s="1"/>
  <c r="I16" i="2" s="1"/>
  <c r="AC15" i="2"/>
  <c r="AB15" i="2"/>
  <c r="AA15" i="2"/>
  <c r="U15" i="2"/>
  <c r="G15" i="2"/>
  <c r="N15" i="2" s="1"/>
  <c r="O15" i="2" s="1"/>
  <c r="P15" i="2" s="1"/>
  <c r="AC14" i="2"/>
  <c r="AB14" i="2"/>
  <c r="AA14" i="2"/>
  <c r="U14" i="2"/>
  <c r="J14" i="2"/>
  <c r="H14" i="2"/>
  <c r="I14" i="2" s="1"/>
  <c r="AC13" i="2"/>
  <c r="AB13" i="2"/>
  <c r="AA13" i="2"/>
  <c r="U13" i="2"/>
  <c r="J13" i="2"/>
  <c r="I13" i="2"/>
  <c r="AC12" i="2"/>
  <c r="AB12" i="2"/>
  <c r="AA12" i="2"/>
  <c r="U12" i="2"/>
  <c r="J12" i="2"/>
  <c r="H12" i="2"/>
  <c r="AC11" i="2"/>
  <c r="AB11" i="2"/>
  <c r="AA11" i="2"/>
  <c r="U11" i="2"/>
  <c r="P11" i="2"/>
  <c r="J11" i="2"/>
  <c r="I11" i="2" s="1"/>
  <c r="H11" i="2"/>
  <c r="AC10" i="2"/>
  <c r="AB10" i="2"/>
  <c r="AA10" i="2"/>
  <c r="U10" i="2"/>
  <c r="P10" i="2"/>
  <c r="J10" i="2"/>
  <c r="I10" i="2" s="1"/>
  <c r="H10" i="2"/>
  <c r="O77" i="2" l="1"/>
  <c r="P77" i="2" s="1"/>
  <c r="I77" i="2"/>
  <c r="N77" i="2"/>
  <c r="H79" i="2"/>
  <c r="O79" i="2" s="1"/>
  <c r="P79" i="2" s="1"/>
  <c r="P114" i="2"/>
  <c r="I12" i="2"/>
  <c r="P116" i="2"/>
  <c r="N85" i="2"/>
  <c r="I18" i="2"/>
  <c r="I23" i="2"/>
  <c r="H15" i="2"/>
  <c r="I15" i="2" s="1"/>
  <c r="I22" i="2"/>
  <c r="I28" i="2"/>
  <c r="I17" i="2"/>
  <c r="I85" i="2"/>
  <c r="O85" i="2"/>
  <c r="P85" i="2" s="1"/>
  <c r="H83" i="2"/>
  <c r="O83" i="2" s="1"/>
  <c r="P83" i="2" s="1"/>
  <c r="N83" i="2"/>
  <c r="H84" i="2"/>
  <c r="O84" i="2" s="1"/>
  <c r="P84" i="2" s="1"/>
  <c r="N16" i="2"/>
  <c r="O16" i="2" s="1"/>
  <c r="P16" i="2" s="1"/>
  <c r="O80" i="2"/>
  <c r="P80" i="2" s="1"/>
  <c r="I84" i="2"/>
  <c r="I78" i="2"/>
  <c r="N78" i="2"/>
  <c r="H81" i="2"/>
  <c r="O81" i="2" s="1"/>
  <c r="P81" i="2" s="1"/>
  <c r="I79" i="2" l="1"/>
  <c r="I81" i="2"/>
  <c r="I83" i="2"/>
</calcChain>
</file>

<file path=xl/sharedStrings.xml><?xml version="1.0" encoding="utf-8"?>
<sst xmlns="http://schemas.openxmlformats.org/spreadsheetml/2006/main" count="862" uniqueCount="274">
  <si>
    <t>FINAL PROMO SPI</t>
  </si>
  <si>
    <t>EDISI: 42</t>
  </si>
  <si>
    <t>PERIODE : 29 OKT - 11 NOV 2025</t>
  </si>
  <si>
    <t>NO.</t>
  </si>
  <si>
    <t>PLU</t>
  </si>
  <si>
    <t>NAMA BARANG</t>
  </si>
  <si>
    <t>KONV</t>
  </si>
  <si>
    <t>NORMAL</t>
  </si>
  <si>
    <t>SUPPORT</t>
  </si>
  <si>
    <t>PROMOSI</t>
  </si>
  <si>
    <t>SETTING</t>
  </si>
  <si>
    <t>POIN</t>
  </si>
  <si>
    <t>SYARAT BBMU</t>
  </si>
  <si>
    <t xml:space="preserve">STORE </t>
  </si>
  <si>
    <t>KETERANGAN/PEMBATASAN</t>
  </si>
  <si>
    <t>PEMBATASAN IN PCS</t>
  </si>
  <si>
    <t>SUPPLIER</t>
  </si>
  <si>
    <t>MCG</t>
  </si>
  <si>
    <t>UNIT</t>
  </si>
  <si>
    <t>HPP</t>
  </si>
  <si>
    <t>HPP Exc PPN</t>
  </si>
  <si>
    <t>M'UP (rumus)</t>
  </si>
  <si>
    <t>H. JUAL (Rp.)</t>
  </si>
  <si>
    <t>FEE</t>
  </si>
  <si>
    <t>DISC.</t>
  </si>
  <si>
    <t>HPP (rumus)</t>
  </si>
  <si>
    <t>HPP+PPN (rumus)</t>
  </si>
  <si>
    <t>MARGIN</t>
  </si>
  <si>
    <t>H. Jual</t>
  </si>
  <si>
    <t>PP</t>
  </si>
  <si>
    <t>SATUAN</t>
  </si>
  <si>
    <t>NETT</t>
  </si>
  <si>
    <t>(RP.)</t>
  </si>
  <si>
    <t>(Rp.)</t>
  </si>
  <si>
    <t>(%)</t>
  </si>
  <si>
    <t>Pcs</t>
  </si>
  <si>
    <t>Ctn</t>
  </si>
  <si>
    <t>(Rp)</t>
  </si>
  <si>
    <t>Setting MD</t>
  </si>
  <si>
    <t>SUPP</t>
  </si>
  <si>
    <t>MKT</t>
  </si>
  <si>
    <t>FOOD</t>
  </si>
  <si>
    <t>NAS</t>
  </si>
  <si>
    <t>MLG3</t>
  </si>
  <si>
    <t>DUMAI</t>
  </si>
  <si>
    <t>FRISIAN FLAG KENTAL MANIS PUTIH  PCK 6x38/37g</t>
  </si>
  <si>
    <t>CTN</t>
  </si>
  <si>
    <t>PCS</t>
  </si>
  <si>
    <t>3 CTN</t>
  </si>
  <si>
    <t>SPI NAS</t>
  </si>
  <si>
    <t>Beli 4 Pcs dapat 2,400 Poin IGR</t>
  </si>
  <si>
    <t>FRISIAN FLAG SUSU KENTAL MANIS COKLAT PCK 6x38/37g</t>
  </si>
  <si>
    <t>INDOMILK SUSU KENTAL MANIS PUTIH KLG 370g</t>
  </si>
  <si>
    <t>Beli 1 Pcs disc 200; Beli 1 Ctn tambahan disc 23,400 (Total disc Per CTN 33,000)</t>
  </si>
  <si>
    <t>INDOMILK SUSU KENTAL MANIS CHOCOLATE KLG 370g</t>
  </si>
  <si>
    <t>CAP ENAK KENTAL MANIS PUTIH PCK 6X37g</t>
  </si>
  <si>
    <t>2 CTN</t>
  </si>
  <si>
    <t>BELI 1 RCG POTONGAN RP. 150,- BELI 1 CTN POTONGAN RP. 2.000,- (TOTAL POTONGAN RP. 5.000/CTN)</t>
  </si>
  <si>
    <t>10036640</t>
  </si>
  <si>
    <t>ULTRA TEH KOTAK JASMINE TEA TPK 300mL</t>
  </si>
  <si>
    <t>JAWA</t>
  </si>
  <si>
    <t>POT PER KARTON</t>
  </si>
  <si>
    <t>L. JAWA</t>
  </si>
  <si>
    <t>ULTRA SUSU UHT STERIL SLIM COKLAT TPK 200mL</t>
  </si>
  <si>
    <t>ULTRA SUSU UHT STERIL SLIM PLAIN TPK 200mL</t>
  </si>
  <si>
    <t>ULTRA SUSU UHT STERIL SLIM STRAWBERRY TPK 200mL</t>
  </si>
  <si>
    <t>ULTRA SUSU UHT STERIL SLIM TARO TPK 200mL</t>
  </si>
  <si>
    <t>ULTRA SUSU UHT STERIL SLIM KARAMEL TPK 200mL</t>
  </si>
  <si>
    <t>SUMATERA</t>
  </si>
  <si>
    <t>KALSUL</t>
  </si>
  <si>
    <t>20072249</t>
  </si>
  <si>
    <t>SOSRO TEH BOTOL ORIGINAL BTL 350mL</t>
  </si>
  <si>
    <t>5 CTN</t>
  </si>
  <si>
    <t>JAWA BALI</t>
  </si>
  <si>
    <t>KAL , SUL , SUM</t>
  </si>
  <si>
    <t>AQUA AIR MINERAL  BTL 600mL</t>
  </si>
  <si>
    <t>BELI 1 CTN POT 2000, BELI 3 CTN TAMBAHAN POT 4.500</t>
  </si>
  <si>
    <t>KALIMANTAN</t>
  </si>
  <si>
    <t>MDO, GTO</t>
  </si>
  <si>
    <t>MKS</t>
  </si>
  <si>
    <t>KRI,</t>
  </si>
  <si>
    <t>ROMA BISCUIT (NEW) KELAPA PCK 300g</t>
  </si>
  <si>
    <t xml:space="preserve">NAS </t>
  </si>
  <si>
    <t>POT 1.800/PCS</t>
  </si>
  <si>
    <t>KHONG GUAN CRACKERS+WAFER SALTCHEESE COMBO SCT 20/17g</t>
  </si>
  <si>
    <t>INDOMIE MIE GORENG PLUS SPECIAL PCK 80g</t>
  </si>
  <si>
    <t>INDOFOOD BUMBU RACIK AYAM GORENG PCK 26g</t>
  </si>
  <si>
    <t>RCG/10</t>
  </si>
  <si>
    <t>1 CTN</t>
  </si>
  <si>
    <t xml:space="preserve">MAKS 10 CTN / MBR / HARI </t>
  </si>
  <si>
    <t>ABC KECAP MANIS REFFIL  PCH 75/62g</t>
  </si>
  <si>
    <t>SASA BUMBU MASAK RP.5000  PCK 110/85g</t>
  </si>
  <si>
    <t>ABC TERASI UDANG (20X4.2G)  PCK 20x3.8g</t>
  </si>
  <si>
    <t>SASA BUMBU MASAK PCK 250g</t>
  </si>
  <si>
    <t>INDOMIE MIE INSTANT HYPE MIE NYEMEK  BANGLAHDES KARI PCK 80g</t>
  </si>
  <si>
    <t>INDOMIE MIE INSTANT HYPE SBLAK HOT JLETO PCK 75g</t>
  </si>
  <si>
    <t>INDOMIE MIE GORENG AYAM GEPREK PCK 85g</t>
  </si>
  <si>
    <t>20117591</t>
  </si>
  <si>
    <t>CHITATO LITE SNACK POTATO NORI SEAWEED PCK 14g</t>
  </si>
  <si>
    <t>BELI 1 CTN POT HARGA Rp 10,500/CTN</t>
  </si>
  <si>
    <t>20128564</t>
  </si>
  <si>
    <t>CHITATO LITE SNACK POTATO NORI SEAWEED PCK 18.5g</t>
  </si>
  <si>
    <t>LUAR JAWA KEC AMB</t>
  </si>
  <si>
    <t>BELI 1 CTN POT HARGA Rp 16,000/CTN</t>
  </si>
  <si>
    <t>CHITATO SNACK POTATO CHIPS SAPI PANGGANG PCK 15g</t>
  </si>
  <si>
    <t>CHITATO SNACK POTATO CHIPS SAPI PANGGANG PCK 19.5g</t>
  </si>
  <si>
    <t>20136136</t>
  </si>
  <si>
    <t>KAPAL API KOPI BUBUK SPECIAL MIX RCG 10x23g</t>
  </si>
  <si>
    <t>MAX 5 CTN/MM/HARI</t>
  </si>
  <si>
    <t>LUAR JAWA</t>
  </si>
  <si>
    <t>20137091</t>
  </si>
  <si>
    <t>ABC KOPI INSTANT KOPI&amp;GULA+SUSU RCG 10x30g</t>
  </si>
  <si>
    <t>20067910</t>
  </si>
  <si>
    <t>GOOD DAY COFFEE FREEZE MOCAFRIO SCT 30g</t>
  </si>
  <si>
    <t>20135893</t>
  </si>
  <si>
    <t>LUWAK WHITE KOFFIE ORIGINAL  RCG 10x20g</t>
  </si>
  <si>
    <t>INDOCAFE COFFEE MIX 3 IN 1 BAG 100X20g</t>
  </si>
  <si>
    <t>JAWA &amp; SMT</t>
  </si>
  <si>
    <t>KAL &amp; SUL</t>
  </si>
  <si>
    <t>BIMOLI MINYAK GORENG (REFILL) PCH 2L</t>
  </si>
  <si>
    <t>SPI JAWA SUM</t>
  </si>
  <si>
    <t>MAKS 10CTN/MM/HARI</t>
  </si>
  <si>
    <t xml:space="preserve">10008989 </t>
  </si>
  <si>
    <t>SPI KAL SUL</t>
  </si>
  <si>
    <t>ROSE BRAND GULA PASIR PUTIH PCK 1Kg</t>
  </si>
  <si>
    <t>ROSE BRAND GULA PASIR KUNING PCK 1Kg</t>
  </si>
  <si>
    <t>RIZKY MINYAK GORENG  BTL 850/800ml</t>
  </si>
  <si>
    <t xml:space="preserve"> JAWA  </t>
  </si>
  <si>
    <t>20131209</t>
  </si>
  <si>
    <t>BDL</t>
  </si>
  <si>
    <t>MDN, PKU</t>
  </si>
  <si>
    <t>PALMIA MARGARINE SERBA GUNA  PCK 200g</t>
  </si>
  <si>
    <t>ROSE BRAND MINYAK GORENG CUP 220mL</t>
  </si>
  <si>
    <t xml:space="preserve">CTN </t>
  </si>
  <si>
    <t>SPI JAWA LAMPUNG</t>
  </si>
  <si>
    <t>SPI MDN PKU</t>
  </si>
  <si>
    <t>SEGITIGA BIRU TERIGU TRANSPARAN  PCK 1000g</t>
  </si>
  <si>
    <t xml:space="preserve"> JAWA</t>
  </si>
  <si>
    <t>SUM KAL SUL</t>
  </si>
  <si>
    <t>NFOOD</t>
  </si>
  <si>
    <t>20049791</t>
  </si>
  <si>
    <t>PANTENE SHAMPOO PRO-V (NEW) ANTI DANDRUFF SCT 10mL</t>
  </si>
  <si>
    <t>RCG/12</t>
  </si>
  <si>
    <t>20049792</t>
  </si>
  <si>
    <t>PANTENE SHAMPOO PRO-V (NEW) HAIR FALL CNTRL SCT 10mL</t>
  </si>
  <si>
    <t>20049787</t>
  </si>
  <si>
    <t>PANTENE SHAMPOO PRO-V (NEW) LONG BLACK SCT 10mL</t>
  </si>
  <si>
    <t>20049789</t>
  </si>
  <si>
    <t>PANTENE SHAMPOO PRO-V (NEW) SILKY SMOOTH CARE SCT 10mL</t>
  </si>
  <si>
    <t>20052248</t>
  </si>
  <si>
    <t>PANTENE SHAMPOO PRO-V (NEW) TOTAL DMG CARE SCT 10mL</t>
  </si>
  <si>
    <t>20049788</t>
  </si>
  <si>
    <t>PANTENE SHAMPOO PRO-V (NEW I) NAT.CARE FULLNESS &amp; LIFE SCT 10mL</t>
  </si>
  <si>
    <t xml:space="preserve">PANTENE SHAMPO PRO-V PERAWATAN RAMBUT RONTOK (5X3) SCT 15g </t>
  </si>
  <si>
    <t xml:space="preserve">KALIMANTAN ONLY </t>
  </si>
  <si>
    <t>PANTENE SHAMPO PRO-V ANTI KETOMBE (5X3) SCT 15g</t>
  </si>
  <si>
    <t>PANTENE SHAMPO PRO-V HITAM GLOW (5X3) SCT 15g</t>
  </si>
  <si>
    <t>PANTENE SHAMPO PRO-V PERAWATAN HALUS &amp; LEMBUT (5X3) SCT 15g</t>
  </si>
  <si>
    <t>VANISH PENGHILANG NODA CAIR  SCT 60mL</t>
  </si>
  <si>
    <t>20053521</t>
  </si>
  <si>
    <t>DOWNY SOFTENER MYSTIQUE SCT 19/24mL</t>
  </si>
  <si>
    <t>200/RCG 12</t>
  </si>
  <si>
    <t>20038493</t>
  </si>
  <si>
    <t>DOWNY SOFTENER PASSION SCT 20/24mL</t>
  </si>
  <si>
    <t>EKONOMI SABUN CREAM ANTI NODA (EL500K) LEMON PCK 154/145g</t>
  </si>
  <si>
    <t xml:space="preserve"> 3 CTN </t>
  </si>
  <si>
    <t>NAS - KAL ( EXCLD PTK ) - SUL ( EXCLD MKS &amp; KRI )</t>
  </si>
  <si>
    <t>5 CTN/MM/HARI</t>
  </si>
  <si>
    <t>EKONOMI SABUN CREAM (EP-500K) PUTIH PCK 154/145g</t>
  </si>
  <si>
    <t>EKONOMI SABUN CREAM ANTI NODA REFFIL E-500K PCK 154/145g</t>
  </si>
  <si>
    <t>EKONOMI SABUN CREAM (EV-500K) VIOLET PCK 154/145g</t>
  </si>
  <si>
    <t>EKONOMI SABUN CREAM ANTI NODA (ES500K) PINK FLOWER PCK 154/145g</t>
  </si>
  <si>
    <t>EKONOMI SABUN CREAM ANTI NODA SIWAK&amp;JRK NIPIS PCK 154/145g</t>
  </si>
  <si>
    <t>KAL ( EXCLD PTK )</t>
  </si>
  <si>
    <t>SUL ( EXCLD MKS , KRI )</t>
  </si>
  <si>
    <t>SHINZU'I SABUN MANDI SKIN LIGHTENING HANNA BOX 85/80g</t>
  </si>
  <si>
    <t>SHINZU'I SABUN MANDI SKIN LIGHTENING KENSHO BAR 85/80g</t>
  </si>
  <si>
    <t>SHINZU'I SABUN MANDI SKIN LIGHTENING KIREI BAR 85/80g</t>
  </si>
  <si>
    <t>SHINZU'I SABUN MANDI SKIN LIGHTENING MYORI BOX 85/80g</t>
  </si>
  <si>
    <t>SHINZU'I SABUN MANDI SKIN LIGHTENING SAKURA BOX 85/80g</t>
  </si>
  <si>
    <t>SHINZU'I SABUN MANDI SKIN WHITENING MATSU BAR 85/80g</t>
  </si>
  <si>
    <t>LIFEBUOY BODY WASH TOTAL 10 PCH 90/85mL</t>
  </si>
  <si>
    <t>PCS/5</t>
  </si>
  <si>
    <t>LIFEBUOY BODY WASH LEMON PCH 90/85mL</t>
  </si>
  <si>
    <t>LIFEBUOY BODY WASH MILD CARE PCH 85mL</t>
  </si>
  <si>
    <t>PEPSODENT PASTA GIGI WHITE  TUB 75/72g</t>
  </si>
  <si>
    <t>beli 36pcs bonus 15,900 poin, max 12x/mbr/hari</t>
  </si>
  <si>
    <t>TIAP PEMBELIAN 2 RCG, POT. 24.000</t>
  </si>
  <si>
    <t>kode plu</t>
  </si>
  <si>
    <t>Deskripsi</t>
  </si>
  <si>
    <t>harga setting</t>
  </si>
  <si>
    <t>pp 1</t>
  </si>
  <si>
    <t>pp 2</t>
  </si>
  <si>
    <t>harga nett</t>
  </si>
  <si>
    <t>syarat</t>
  </si>
  <si>
    <t>store</t>
  </si>
  <si>
    <t>KAL</t>
  </si>
  <si>
    <t>SUL</t>
  </si>
  <si>
    <t>SUM</t>
  </si>
  <si>
    <t>JAWA, SUM</t>
  </si>
  <si>
    <t>KAL, SUL</t>
  </si>
  <si>
    <t>UNSUR 1</t>
  </si>
  <si>
    <t>UNSUR 2</t>
  </si>
  <si>
    <t>UNSUR 3</t>
  </si>
  <si>
    <t>UNSUR 4</t>
  </si>
  <si>
    <t>UNSUR 5</t>
  </si>
  <si>
    <t>UNSUR 6</t>
  </si>
  <si>
    <t>UNSUR 7</t>
  </si>
  <si>
    <t>KODE</t>
  </si>
  <si>
    <t>V</t>
  </si>
  <si>
    <t>ALL</t>
  </si>
  <si>
    <t>BIMOLI</t>
  </si>
  <si>
    <t>bonus poin 1</t>
  </si>
  <si>
    <t>bonus tambahan 1</t>
  </si>
  <si>
    <t>bonus tambahan 2</t>
  </si>
  <si>
    <t>setiap pembelian 3 ctn</t>
  </si>
  <si>
    <t>Indogrosir Bandung</t>
  </si>
  <si>
    <t>Indogrosir Bali</t>
  </si>
  <si>
    <t>Indogrosir Bogor</t>
  </si>
  <si>
    <t>Indogrosir Cikokol</t>
  </si>
  <si>
    <t>Indogrosir Cipinang</t>
  </si>
  <si>
    <t>Indogrosir Ciputat</t>
  </si>
  <si>
    <t>Indogrosir Karawang</t>
  </si>
  <si>
    <t>Indogrosir Kemayoran</t>
  </si>
  <si>
    <t>Indogrosir Malang</t>
  </si>
  <si>
    <t>Indogrosir Purwokerto</t>
  </si>
  <si>
    <t>Indogrosir Semarang</t>
  </si>
  <si>
    <t>Indogrosir Solo</t>
  </si>
  <si>
    <t>Indogrosir Sukabumi</t>
  </si>
  <si>
    <t>Indogrosir Surabaya</t>
  </si>
  <si>
    <t>Indogrosir Tangerang</t>
  </si>
  <si>
    <t>Indogrosir Yogyakarta</t>
  </si>
  <si>
    <t>BLI</t>
  </si>
  <si>
    <t>BGR</t>
  </si>
  <si>
    <t>CKL</t>
  </si>
  <si>
    <t>CPG</t>
  </si>
  <si>
    <t>CPT</t>
  </si>
  <si>
    <t>KRW</t>
  </si>
  <si>
    <t>KMY</t>
  </si>
  <si>
    <t>MLG</t>
  </si>
  <si>
    <t>PWT</t>
  </si>
  <si>
    <t>SMG</t>
  </si>
  <si>
    <t>SLO</t>
  </si>
  <si>
    <t>SBI</t>
  </si>
  <si>
    <t>SBY</t>
  </si>
  <si>
    <t>TGR</t>
  </si>
  <si>
    <t>YOG</t>
  </si>
  <si>
    <t>Indogrosir Batam</t>
  </si>
  <si>
    <t>Indogrosir Jambi</t>
  </si>
  <si>
    <t>Indogrosir Lampung</t>
  </si>
  <si>
    <t>Indogrosir Medan</t>
  </si>
  <si>
    <t>Indogrosir Palembang</t>
  </si>
  <si>
    <t>Indogrosir Pekanbaru</t>
  </si>
  <si>
    <t>BTM</t>
  </si>
  <si>
    <t>JBI</t>
  </si>
  <si>
    <t>MDN</t>
  </si>
  <si>
    <t>PLG</t>
  </si>
  <si>
    <t>inDO</t>
  </si>
  <si>
    <t>PKU</t>
  </si>
  <si>
    <t>Indogrosir Banjarmasin</t>
  </si>
  <si>
    <t>Indogrosir Pontianak</t>
  </si>
  <si>
    <t>Indogrosir Samarinda</t>
  </si>
  <si>
    <t>Indogrosir Gorontalo</t>
  </si>
  <si>
    <t>Indogrosir Kendari</t>
  </si>
  <si>
    <t>Indogrosir Makassar</t>
  </si>
  <si>
    <t>Indogrosir Manado</t>
  </si>
  <si>
    <t>Indogrosir Ambon</t>
  </si>
  <si>
    <t>BMS</t>
  </si>
  <si>
    <t>PTK</t>
  </si>
  <si>
    <t>SMD</t>
  </si>
  <si>
    <t>GTO</t>
  </si>
  <si>
    <t>KRI</t>
  </si>
  <si>
    <t>MDO</t>
  </si>
  <si>
    <t>AMB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</si>
</sst>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\-??_);_(@_)"/>
    <numFmt numFmtId="166" formatCode="_ * #,##0_ ;_ * \-#,##0_ ;_ * &quot;-&quot;??_ ;_ @_ "/>
    <numFmt numFmtId="167" formatCode="_(* #,##0.00_);_(* \(#,##0.00\);_(* &quot;-&quot;??_);_(@_)"/>
    <numFmt numFmtId="168" formatCode="_ * #,##0.00_ ;_ * \-#,##0.00_ ;_ * &quot;-&quot;??_ ;_ @_ "/>
    <numFmt numFmtId="169" formatCode="_(* #,##0_);_(* \(#,##0\);_(* &quot;-&quot;??_);_(@_)"/>
    <numFmt numFmtId="170" formatCode="_-* #,##0_-;\-* #,##0_-;_-* &quot;-&quot;??_-;_-@_-"/>
    <numFmt numFmtId="171" formatCode="#,##0.0_ ;\-#,##0.0\ "/>
    <numFmt numFmtId="172" formatCode="0.0%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b/>
      <sz val="11"/>
      <color theme="1"/>
      <name val="Calibri"/>
      <family val="2"/>
    </font>
    <font>
      <sz val="12"/>
      <color indexed="8"/>
      <name val="Calibri"/>
      <family val="2"/>
    </font>
    <font>
      <sz val="12"/>
      <color indexed="8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MS Sans Serif"/>
      <charset val="13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12529"/>
      <name val="Segoe UI"/>
      <family val="2"/>
    </font>
    <font>
      <sz val="11"/>
      <color rgb="FFFFFFFF"/>
      <name val="Calibri"/>
      <family val="2"/>
      <scheme val="minor"/>
    </font>
    <font>
      <sz val="10"/>
      <color rgb="FFFFFFFF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5849482711264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22">
    <xf numFmtId="0" fontId="0" fillId="0" borderId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164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5" fillId="0" borderId="0" applyFill="0" applyBorder="0" applyAlignment="0" applyProtection="0"/>
    <xf numFmtId="165" fontId="15" fillId="0" borderId="0" applyFill="0" applyBorder="0" applyAlignment="0" applyProtection="0"/>
    <xf numFmtId="165" fontId="15" fillId="0" borderId="0" applyFill="0" applyBorder="0" applyAlignment="0" applyProtection="0"/>
    <xf numFmtId="166" fontId="15" fillId="0" borderId="0" applyFill="0" applyBorder="0" applyAlignment="0" applyProtection="0"/>
    <xf numFmtId="0" fontId="15" fillId="0" borderId="0" applyFill="0" applyBorder="0" applyAlignment="0" applyProtection="0"/>
    <xf numFmtId="165" fontId="15" fillId="0" borderId="0" applyFill="0" applyBorder="0" applyAlignment="0" applyProtection="0"/>
    <xf numFmtId="0" fontId="15" fillId="0" borderId="0" applyFill="0" applyBorder="0" applyAlignment="0" applyProtection="0"/>
    <xf numFmtId="165" fontId="15" fillId="0" borderId="0" applyFill="0" applyBorder="0" applyAlignment="0" applyProtection="0"/>
    <xf numFmtId="165" fontId="15" fillId="0" borderId="0" applyFill="0" applyBorder="0" applyAlignment="0" applyProtection="0"/>
    <xf numFmtId="165" fontId="15" fillId="0" borderId="0" applyFill="0" applyBorder="0" applyAlignment="0" applyProtection="0"/>
    <xf numFmtId="165" fontId="15" fillId="0" borderId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>
      <alignment vertical="center"/>
    </xf>
    <xf numFmtId="168" fontId="17" fillId="0" borderId="0" applyFont="0" applyFill="0" applyBorder="0" applyAlignment="0" applyProtection="0">
      <alignment vertical="center"/>
    </xf>
    <xf numFmtId="168" fontId="17" fillId="0" borderId="0" applyFont="0" applyFill="0" applyBorder="0" applyAlignment="0" applyProtection="0">
      <alignment vertical="center"/>
    </xf>
    <xf numFmtId="168" fontId="17" fillId="0" borderId="0" applyFont="0" applyFill="0" applyBorder="0" applyAlignment="0" applyProtection="0">
      <alignment vertical="center"/>
    </xf>
    <xf numFmtId="168" fontId="17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68" fontId="17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67" fontId="1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5" fillId="0" borderId="0" applyFill="0" applyBorder="0" applyAlignment="0" applyProtection="0"/>
    <xf numFmtId="43" fontId="15" fillId="0" borderId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>
      <alignment vertical="center"/>
    </xf>
    <xf numFmtId="168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>
      <alignment vertical="center"/>
    </xf>
    <xf numFmtId="168" fontId="17" fillId="0" borderId="0" applyFont="0" applyFill="0" applyBorder="0" applyAlignment="0" applyProtection="0">
      <alignment vertical="center"/>
    </xf>
    <xf numFmtId="168" fontId="17" fillId="0" borderId="0" applyFont="0" applyFill="0" applyBorder="0" applyAlignment="0" applyProtection="0">
      <alignment vertical="center"/>
    </xf>
    <xf numFmtId="168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0" fontId="17" fillId="0" borderId="0" applyFont="0" applyFill="0" applyBorder="0" applyAlignment="0" applyProtection="0">
      <alignment vertical="center"/>
    </xf>
    <xf numFmtId="43" fontId="15" fillId="0" borderId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>
      <alignment vertical="center"/>
    </xf>
    <xf numFmtId="43" fontId="15" fillId="0" borderId="0" applyFill="0" applyBorder="0" applyAlignment="0" applyProtection="0"/>
    <xf numFmtId="168" fontId="17" fillId="0" borderId="0" applyFont="0" applyFill="0" applyBorder="0" applyAlignment="0" applyProtection="0">
      <alignment vertical="center"/>
    </xf>
    <xf numFmtId="43" fontId="15" fillId="0" borderId="0" applyFill="0" applyBorder="0" applyAlignment="0" applyProtection="0"/>
    <xf numFmtId="43" fontId="15" fillId="0" borderId="0" applyFill="0" applyBorder="0" applyAlignment="0" applyProtection="0"/>
    <xf numFmtId="43" fontId="15" fillId="0" borderId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>
      <alignment vertical="center"/>
    </xf>
    <xf numFmtId="168" fontId="17" fillId="0" borderId="0" applyFont="0" applyFill="0" applyBorder="0" applyAlignment="0" applyProtection="0">
      <alignment vertical="center"/>
    </xf>
    <xf numFmtId="168" fontId="17" fillId="0" borderId="0" applyFont="0" applyFill="0" applyBorder="0" applyAlignment="0" applyProtection="0">
      <alignment vertical="center"/>
    </xf>
    <xf numFmtId="168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 applyFont="0" applyFill="0" applyBorder="0" applyAlignment="0" applyProtection="0">
      <alignment vertical="center"/>
    </xf>
    <xf numFmtId="43" fontId="15" fillId="0" borderId="0" applyFill="0" applyBorder="0" applyAlignment="0" applyProtection="0"/>
    <xf numFmtId="168" fontId="17" fillId="0" borderId="0" applyFont="0" applyFill="0" applyBorder="0" applyAlignment="0" applyProtection="0">
      <alignment vertical="center"/>
    </xf>
    <xf numFmtId="0" fontId="17" fillId="0" borderId="0" applyFont="0" applyFill="0" applyBorder="0" applyAlignment="0" applyProtection="0">
      <alignment vertical="center"/>
    </xf>
    <xf numFmtId="168" fontId="17" fillId="0" borderId="0" applyFont="0" applyFill="0" applyBorder="0" applyAlignment="0" applyProtection="0">
      <alignment vertical="center"/>
    </xf>
    <xf numFmtId="168" fontId="17" fillId="0" borderId="0" applyFont="0" applyFill="0" applyBorder="0" applyAlignment="0" applyProtection="0">
      <alignment vertical="center"/>
    </xf>
    <xf numFmtId="168" fontId="17" fillId="0" borderId="0" applyFont="0" applyFill="0" applyBorder="0" applyAlignment="0" applyProtection="0">
      <alignment vertical="center"/>
    </xf>
    <xf numFmtId="168" fontId="17" fillId="0" borderId="0" applyFont="0" applyFill="0" applyBorder="0" applyAlignment="0" applyProtection="0">
      <alignment vertical="center"/>
    </xf>
    <xf numFmtId="168" fontId="17" fillId="0" borderId="0" applyFont="0" applyFill="0" applyBorder="0" applyAlignment="0" applyProtection="0">
      <alignment vertical="center"/>
    </xf>
    <xf numFmtId="168" fontId="17" fillId="0" borderId="0" applyFont="0" applyFill="0" applyBorder="0" applyAlignment="0" applyProtection="0">
      <alignment vertical="center"/>
    </xf>
    <xf numFmtId="168" fontId="17" fillId="0" borderId="0" applyFont="0" applyFill="0" applyBorder="0" applyAlignment="0" applyProtection="0">
      <alignment vertical="center"/>
    </xf>
    <xf numFmtId="168" fontId="17" fillId="0" borderId="0" applyFont="0" applyFill="0" applyBorder="0" applyAlignment="0" applyProtection="0">
      <alignment vertical="center"/>
    </xf>
    <xf numFmtId="168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5" fillId="0" borderId="0" applyFont="0" applyFill="0" applyBorder="0" applyAlignment="0" applyProtection="0"/>
    <xf numFmtId="168" fontId="17" fillId="0" borderId="0" applyFont="0" applyFill="0" applyBorder="0" applyAlignment="0" applyProtection="0">
      <alignment vertical="center"/>
    </xf>
    <xf numFmtId="168" fontId="17" fillId="0" borderId="0" applyFont="0" applyFill="0" applyBorder="0" applyAlignment="0" applyProtection="0">
      <alignment vertical="center"/>
    </xf>
    <xf numFmtId="168" fontId="17" fillId="0" borderId="0" applyFont="0" applyFill="0" applyBorder="0" applyAlignment="0" applyProtection="0">
      <alignment vertical="center"/>
    </xf>
    <xf numFmtId="168" fontId="17" fillId="0" borderId="0" applyFont="0" applyFill="0" applyBorder="0" applyAlignment="0" applyProtection="0">
      <alignment vertical="center"/>
    </xf>
    <xf numFmtId="168" fontId="17" fillId="0" borderId="0" applyFont="0" applyFill="0" applyBorder="0" applyAlignment="0" applyProtection="0">
      <alignment vertical="center"/>
    </xf>
    <xf numFmtId="168" fontId="17" fillId="0" borderId="0" applyFont="0" applyFill="0" applyBorder="0" applyAlignment="0" applyProtection="0">
      <alignment vertical="center"/>
    </xf>
    <xf numFmtId="168" fontId="17" fillId="0" borderId="0" applyFont="0" applyFill="0" applyBorder="0" applyAlignment="0" applyProtection="0">
      <alignment vertical="center"/>
    </xf>
    <xf numFmtId="168" fontId="17" fillId="0" borderId="0" applyFont="0" applyFill="0" applyBorder="0" applyAlignment="0" applyProtection="0">
      <alignment vertical="center"/>
    </xf>
    <xf numFmtId="168" fontId="17" fillId="0" borderId="0" applyFont="0" applyFill="0" applyBorder="0" applyAlignment="0" applyProtection="0">
      <alignment vertical="center"/>
    </xf>
    <xf numFmtId="168" fontId="17" fillId="0" borderId="0" applyFont="0" applyFill="0" applyBorder="0" applyAlignment="0" applyProtection="0">
      <alignment vertical="center"/>
    </xf>
    <xf numFmtId="168" fontId="17" fillId="0" borderId="0" applyFont="0" applyFill="0" applyBorder="0" applyAlignment="0" applyProtection="0">
      <alignment vertical="center"/>
    </xf>
    <xf numFmtId="168" fontId="17" fillId="0" borderId="0" applyFont="0" applyFill="0" applyBorder="0" applyAlignment="0" applyProtection="0">
      <alignment vertical="center"/>
    </xf>
    <xf numFmtId="168" fontId="17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>
      <alignment vertical="center"/>
    </xf>
    <xf numFmtId="168" fontId="17" fillId="0" borderId="0" applyFont="0" applyFill="0" applyBorder="0" applyAlignment="0" applyProtection="0">
      <alignment vertical="center"/>
    </xf>
    <xf numFmtId="168" fontId="17" fillId="0" borderId="0" applyFont="0" applyFill="0" applyBorder="0" applyAlignment="0" applyProtection="0">
      <alignment vertical="center"/>
    </xf>
    <xf numFmtId="168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168" fontId="17" fillId="0" borderId="0" applyFont="0" applyFill="0" applyBorder="0" applyAlignment="0" applyProtection="0">
      <alignment vertical="center"/>
    </xf>
    <xf numFmtId="168" fontId="17" fillId="0" borderId="0" applyFont="0" applyFill="0" applyBorder="0" applyAlignment="0" applyProtection="0">
      <alignment vertical="center"/>
    </xf>
    <xf numFmtId="168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5" fillId="0" borderId="0" applyFont="0" applyFill="0" applyBorder="0" applyAlignment="0" applyProtection="0"/>
    <xf numFmtId="168" fontId="17" fillId="0" borderId="0" applyFont="0" applyFill="0" applyBorder="0" applyAlignment="0" applyProtection="0">
      <alignment vertical="center"/>
    </xf>
    <xf numFmtId="168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>
      <alignment vertical="center"/>
    </xf>
    <xf numFmtId="168" fontId="17" fillId="0" borderId="0" applyFont="0" applyFill="0" applyBorder="0" applyAlignment="0" applyProtection="0">
      <alignment vertical="center"/>
    </xf>
    <xf numFmtId="168" fontId="17" fillId="0" borderId="0" applyFont="0" applyFill="0" applyBorder="0" applyAlignment="0" applyProtection="0">
      <alignment vertical="center"/>
    </xf>
    <xf numFmtId="168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169" fontId="14" fillId="0" borderId="0"/>
    <xf numFmtId="169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5" fillId="0" borderId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5" fillId="0" borderId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5" fillId="0" borderId="0" applyFill="0" applyBorder="0" applyAlignment="0" applyProtection="0"/>
    <xf numFmtId="9" fontId="15" fillId="0" borderId="0" applyFill="0" applyBorder="0" applyAlignment="0" applyProtection="0"/>
    <xf numFmtId="9" fontId="15" fillId="0" borderId="0" applyFill="0" applyBorder="0" applyAlignment="0" applyProtection="0"/>
    <xf numFmtId="9" fontId="15" fillId="0" borderId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</cellStyleXfs>
  <cellXfs count="116">
    <xf numFmtId="0" fontId="0" fillId="0" borderId="0" xfId="0"/>
    <xf numFmtId="170" fontId="0" fillId="0" borderId="0" xfId="1" applyNumberFormat="1" applyFont="1"/>
    <xf numFmtId="0" fontId="3" fillId="0" borderId="0" xfId="312" applyFont="1" applyAlignment="1">
      <alignment vertical="center"/>
    </xf>
    <xf numFmtId="0" fontId="4" fillId="2" borderId="0" xfId="0" applyFont="1" applyFill="1"/>
    <xf numFmtId="166" fontId="4" fillId="2" borderId="0" xfId="1" applyNumberFormat="1" applyFont="1" applyFill="1" applyAlignment="1"/>
    <xf numFmtId="0" fontId="3" fillId="0" borderId="0" xfId="312" applyFont="1" applyAlignment="1">
      <alignment horizontal="center" vertical="center"/>
    </xf>
    <xf numFmtId="4" fontId="5" fillId="2" borderId="4" xfId="333" applyNumberFormat="1" applyFont="1" applyFill="1" applyBorder="1" applyAlignment="1">
      <alignment vertical="center" wrapText="1"/>
    </xf>
    <xf numFmtId="4" fontId="5" fillId="2" borderId="5" xfId="333" applyNumberFormat="1" applyFont="1" applyFill="1" applyBorder="1" applyAlignment="1">
      <alignment vertical="center" wrapText="1"/>
    </xf>
    <xf numFmtId="0" fontId="5" fillId="2" borderId="11" xfId="333" applyFont="1" applyFill="1" applyBorder="1" applyAlignment="1">
      <alignment horizontal="center" vertical="center" wrapText="1"/>
    </xf>
    <xf numFmtId="3" fontId="5" fillId="2" borderId="11" xfId="333" applyNumberFormat="1" applyFont="1" applyFill="1" applyBorder="1" applyAlignment="1">
      <alignment horizontal="center" vertical="center" wrapText="1"/>
    </xf>
    <xf numFmtId="0" fontId="5" fillId="2" borderId="12" xfId="333" applyFont="1" applyFill="1" applyBorder="1" applyAlignment="1">
      <alignment horizontal="center" vertical="center" wrapText="1"/>
    </xf>
    <xf numFmtId="0" fontId="6" fillId="3" borderId="11" xfId="345" applyFont="1" applyFill="1" applyBorder="1" applyAlignment="1">
      <alignment vertical="center"/>
    </xf>
    <xf numFmtId="0" fontId="6" fillId="3" borderId="5" xfId="345" applyFont="1" applyFill="1" applyBorder="1" applyAlignment="1">
      <alignment vertical="center"/>
    </xf>
    <xf numFmtId="0" fontId="6" fillId="3" borderId="5" xfId="345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169" fontId="4" fillId="2" borderId="11" xfId="178" applyNumberFormat="1" applyFont="1" applyFill="1" applyBorder="1" applyAlignment="1"/>
    <xf numFmtId="0" fontId="8" fillId="2" borderId="14" xfId="0" applyFont="1" applyFill="1" applyBorder="1" applyAlignment="1">
      <alignment vertical="center"/>
    </xf>
    <xf numFmtId="166" fontId="4" fillId="2" borderId="0" xfId="1" applyNumberFormat="1" applyFont="1" applyFill="1" applyAlignment="1">
      <alignment horizontal="center"/>
    </xf>
    <xf numFmtId="0" fontId="9" fillId="2" borderId="0" xfId="0" applyFont="1" applyFill="1" applyAlignment="1">
      <alignment horizontal="center" vertical="center"/>
    </xf>
    <xf numFmtId="4" fontId="5" fillId="2" borderId="16" xfId="333" applyNumberFormat="1" applyFont="1" applyFill="1" applyBorder="1" applyAlignment="1">
      <alignment vertical="center" wrapText="1"/>
    </xf>
    <xf numFmtId="0" fontId="5" fillId="2" borderId="2" xfId="333" applyFont="1" applyFill="1" applyBorder="1" applyAlignment="1">
      <alignment vertical="center" wrapText="1"/>
    </xf>
    <xf numFmtId="0" fontId="5" fillId="2" borderId="3" xfId="333" applyFont="1" applyFill="1" applyBorder="1" applyAlignment="1">
      <alignment vertical="center" wrapText="1"/>
    </xf>
    <xf numFmtId="2" fontId="5" fillId="2" borderId="11" xfId="333" applyNumberFormat="1" applyFont="1" applyFill="1" applyBorder="1" applyAlignment="1">
      <alignment horizontal="center" vertical="center" wrapText="1"/>
    </xf>
    <xf numFmtId="4" fontId="5" fillId="2" borderId="4" xfId="333" applyNumberFormat="1" applyFont="1" applyFill="1" applyBorder="1" applyAlignment="1">
      <alignment horizontal="center" vertical="center" wrapText="1"/>
    </xf>
    <xf numFmtId="0" fontId="5" fillId="2" borderId="7" xfId="333" applyFont="1" applyFill="1" applyBorder="1" applyAlignment="1">
      <alignment vertical="center" wrapText="1"/>
    </xf>
    <xf numFmtId="0" fontId="5" fillId="2" borderId="8" xfId="333" applyFont="1" applyFill="1" applyBorder="1" applyAlignment="1">
      <alignment vertical="center" wrapText="1"/>
    </xf>
    <xf numFmtId="3" fontId="5" fillId="2" borderId="4" xfId="333" applyNumberFormat="1" applyFont="1" applyFill="1" applyBorder="1" applyAlignment="1">
      <alignment vertical="center" wrapText="1"/>
    </xf>
    <xf numFmtId="3" fontId="5" fillId="2" borderId="16" xfId="333" applyNumberFormat="1" applyFont="1" applyFill="1" applyBorder="1" applyAlignment="1">
      <alignment vertical="center" wrapText="1"/>
    </xf>
    <xf numFmtId="166" fontId="5" fillId="2" borderId="11" xfId="1" applyNumberFormat="1" applyFont="1" applyFill="1" applyBorder="1" applyAlignment="1" applyProtection="1">
      <alignment horizontal="center" vertical="center" wrapText="1"/>
    </xf>
    <xf numFmtId="2" fontId="5" fillId="0" borderId="11" xfId="2" applyNumberFormat="1" applyFont="1" applyFill="1" applyBorder="1" applyAlignment="1">
      <alignment horizontal="center" vertical="center"/>
    </xf>
    <xf numFmtId="169" fontId="5" fillId="6" borderId="11" xfId="66" applyNumberFormat="1" applyFont="1" applyFill="1" applyBorder="1" applyAlignment="1">
      <alignment horizontal="center" vertical="center"/>
    </xf>
    <xf numFmtId="169" fontId="10" fillId="0" borderId="11" xfId="254" applyNumberFormat="1" applyFont="1" applyFill="1" applyBorder="1" applyAlignment="1">
      <alignment horizontal="center" vertical="center"/>
    </xf>
    <xf numFmtId="169" fontId="11" fillId="7" borderId="11" xfId="2" applyNumberFormat="1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/>
    </xf>
    <xf numFmtId="166" fontId="4" fillId="2" borderId="11" xfId="178" applyNumberFormat="1" applyFont="1" applyFill="1" applyBorder="1" applyAlignment="1"/>
    <xf numFmtId="10" fontId="5" fillId="0" borderId="11" xfId="2" applyNumberFormat="1" applyFont="1" applyFill="1" applyBorder="1" applyAlignment="1">
      <alignment horizontal="center" vertical="center"/>
    </xf>
    <xf numFmtId="171" fontId="5" fillId="0" borderId="11" xfId="2" applyNumberFormat="1" applyFont="1" applyFill="1" applyBorder="1" applyAlignment="1">
      <alignment horizontal="center" vertical="center"/>
    </xf>
    <xf numFmtId="4" fontId="4" fillId="2" borderId="11" xfId="178" applyNumberFormat="1" applyFont="1" applyFill="1" applyBorder="1" applyAlignment="1"/>
    <xf numFmtId="170" fontId="4" fillId="2" borderId="11" xfId="178" applyNumberFormat="1" applyFont="1" applyFill="1" applyBorder="1" applyAlignment="1"/>
    <xf numFmtId="172" fontId="5" fillId="0" borderId="11" xfId="2" applyNumberFormat="1" applyFont="1" applyFill="1" applyBorder="1" applyAlignment="1">
      <alignment horizontal="center" vertical="center"/>
    </xf>
    <xf numFmtId="164" fontId="4" fillId="2" borderId="11" xfId="3" applyFont="1" applyFill="1" applyBorder="1" applyAlignment="1"/>
    <xf numFmtId="170" fontId="4" fillId="2" borderId="0" xfId="1" applyNumberFormat="1" applyFont="1" applyFill="1"/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10" fillId="0" borderId="0" xfId="0" applyFont="1"/>
    <xf numFmtId="170" fontId="10" fillId="0" borderId="0" xfId="1" applyNumberFormat="1" applyFont="1"/>
    <xf numFmtId="0" fontId="5" fillId="2" borderId="11" xfId="333" applyFont="1" applyFill="1" applyBorder="1" applyAlignment="1">
      <alignment horizontal="center" vertical="center"/>
    </xf>
    <xf numFmtId="170" fontId="6" fillId="3" borderId="5" xfId="1" applyNumberFormat="1" applyFont="1" applyFill="1" applyBorder="1" applyAlignment="1" applyProtection="1">
      <alignment vertical="center"/>
    </xf>
    <xf numFmtId="166" fontId="4" fillId="7" borderId="11" xfId="178" applyNumberFormat="1" applyFont="1" applyFill="1" applyBorder="1" applyAlignment="1">
      <alignment horizontal="center"/>
    </xf>
    <xf numFmtId="169" fontId="3" fillId="5" borderId="11" xfId="254" applyNumberFormat="1" applyFont="1" applyFill="1" applyBorder="1" applyAlignment="1">
      <alignment vertical="center"/>
    </xf>
    <xf numFmtId="169" fontId="3" fillId="8" borderId="11" xfId="254" applyNumberFormat="1" applyFont="1" applyFill="1" applyBorder="1" applyAlignment="1">
      <alignment vertical="center"/>
    </xf>
    <xf numFmtId="169" fontId="3" fillId="9" borderId="11" xfId="254" applyNumberFormat="1" applyFont="1" applyFill="1" applyBorder="1" applyAlignment="1">
      <alignment horizontal="right" vertical="center"/>
    </xf>
    <xf numFmtId="0" fontId="0" fillId="0" borderId="11" xfId="0" applyBorder="1" applyAlignment="1">
      <alignment horizontal="center" vertical="center" wrapText="1"/>
    </xf>
    <xf numFmtId="41" fontId="5" fillId="6" borderId="11" xfId="66" applyNumberFormat="1" applyFont="1" applyFill="1" applyBorder="1" applyAlignment="1">
      <alignment horizontal="center" vertical="center"/>
    </xf>
    <xf numFmtId="169" fontId="12" fillId="0" borderId="11" xfId="1" applyNumberFormat="1" applyFont="1" applyBorder="1" applyAlignment="1">
      <alignment horizontal="right" vertical="center"/>
    </xf>
    <xf numFmtId="164" fontId="5" fillId="6" borderId="11" xfId="3" applyFont="1" applyFill="1" applyBorder="1" applyAlignment="1">
      <alignment horizontal="center" vertical="center"/>
    </xf>
    <xf numFmtId="0" fontId="6" fillId="3" borderId="17" xfId="345" applyFont="1" applyFill="1" applyBorder="1" applyAlignment="1">
      <alignment horizontal="left" vertical="center"/>
    </xf>
    <xf numFmtId="0" fontId="6" fillId="3" borderId="16" xfId="345" applyFont="1" applyFill="1" applyBorder="1" applyAlignment="1">
      <alignment vertical="center"/>
    </xf>
    <xf numFmtId="169" fontId="13" fillId="0" borderId="11" xfId="58" applyNumberFormat="1" applyFont="1" applyFill="1" applyBorder="1" applyAlignment="1">
      <alignment horizontal="center" vertical="center" wrapText="1"/>
    </xf>
    <xf numFmtId="0" fontId="0" fillId="0" borderId="11" xfId="0" applyBorder="1"/>
    <xf numFmtId="0" fontId="6" fillId="3" borderId="1" xfId="345" applyFont="1" applyFill="1" applyBorder="1" applyAlignment="1">
      <alignment horizontal="center" vertical="center"/>
    </xf>
    <xf numFmtId="0" fontId="6" fillId="3" borderId="18" xfId="345" applyFont="1" applyFill="1" applyBorder="1" applyAlignment="1">
      <alignment vertical="center"/>
    </xf>
    <xf numFmtId="0" fontId="6" fillId="3" borderId="18" xfId="345" applyFont="1" applyFill="1" applyBorder="1" applyAlignment="1">
      <alignment vertical="center" wrapText="1"/>
    </xf>
    <xf numFmtId="170" fontId="6" fillId="3" borderId="18" xfId="1" applyNumberFormat="1" applyFont="1" applyFill="1" applyBorder="1" applyAlignment="1" applyProtection="1">
      <alignment vertical="center"/>
    </xf>
    <xf numFmtId="170" fontId="6" fillId="3" borderId="0" xfId="1" applyNumberFormat="1" applyFont="1" applyFill="1" applyBorder="1" applyAlignment="1" applyProtection="1">
      <alignment vertical="center"/>
    </xf>
    <xf numFmtId="170" fontId="6" fillId="3" borderId="0" xfId="1" applyNumberFormat="1" applyFont="1" applyFill="1" applyBorder="1" applyAlignment="1" applyProtection="1">
      <alignment horizontal="right" vertical="center"/>
    </xf>
    <xf numFmtId="0" fontId="6" fillId="3" borderId="0" xfId="345" applyFont="1" applyFill="1" applyAlignment="1">
      <alignment horizontal="center" vertical="center"/>
    </xf>
    <xf numFmtId="0" fontId="6" fillId="3" borderId="0" xfId="345" applyFont="1" applyFill="1" applyAlignment="1">
      <alignment horizontal="left" vertical="center"/>
    </xf>
    <xf numFmtId="0" fontId="6" fillId="3" borderId="10" xfId="345" applyFont="1" applyFill="1" applyBorder="1" applyAlignment="1">
      <alignment vertical="center"/>
    </xf>
    <xf numFmtId="0" fontId="8" fillId="0" borderId="13" xfId="0" quotePrefix="1" applyFont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18" fillId="0" borderId="0" xfId="0" applyFont="1"/>
    <xf numFmtId="0" fontId="2" fillId="0" borderId="0" xfId="0" applyFont="1"/>
    <xf numFmtId="3" fontId="5" fillId="10" borderId="11" xfId="333" applyNumberFormat="1" applyFont="1" applyFill="1" applyBorder="1" applyAlignment="1">
      <alignment horizontal="center" vertical="center" wrapText="1"/>
    </xf>
    <xf numFmtId="166" fontId="5" fillId="10" borderId="11" xfId="1" applyNumberFormat="1" applyFont="1" applyFill="1" applyBorder="1" applyAlignment="1" applyProtection="1">
      <alignment horizontal="center" vertical="center" wrapText="1"/>
    </xf>
    <xf numFmtId="0" fontId="5" fillId="10" borderId="11" xfId="333" applyFont="1" applyFill="1" applyBorder="1" applyAlignment="1">
      <alignment horizontal="center" vertical="center" wrapText="1"/>
    </xf>
    <xf numFmtId="166" fontId="5" fillId="10" borderId="11" xfId="1" applyNumberFormat="1" applyFont="1" applyFill="1" applyBorder="1" applyAlignment="1" applyProtection="1">
      <alignment horizontal="center" vertical="center" wrapText="1"/>
    </xf>
    <xf numFmtId="0" fontId="3" fillId="10" borderId="1" xfId="333" applyFont="1" applyFill="1" applyBorder="1" applyAlignment="1">
      <alignment horizontal="center" vertical="center" wrapText="1"/>
    </xf>
    <xf numFmtId="0" fontId="3" fillId="10" borderId="6" xfId="333" applyFont="1" applyFill="1" applyBorder="1" applyAlignment="1">
      <alignment horizontal="center" vertical="center" wrapText="1"/>
    </xf>
    <xf numFmtId="0" fontId="3" fillId="10" borderId="12" xfId="333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0" borderId="6" xfId="0" applyFont="1" applyFill="1" applyBorder="1" applyAlignment="1">
      <alignment horizontal="center" vertical="center" wrapText="1"/>
    </xf>
    <xf numFmtId="0" fontId="4" fillId="10" borderId="12" xfId="0" applyFont="1" applyFill="1" applyBorder="1" applyAlignment="1">
      <alignment horizontal="center" vertical="center" wrapText="1"/>
    </xf>
    <xf numFmtId="0" fontId="5" fillId="2" borderId="1" xfId="333" applyFont="1" applyFill="1" applyBorder="1" applyAlignment="1">
      <alignment horizontal="center" vertical="center" wrapText="1"/>
    </xf>
    <xf numFmtId="0" fontId="5" fillId="2" borderId="6" xfId="333" applyFont="1" applyFill="1" applyBorder="1" applyAlignment="1">
      <alignment horizontal="center" vertical="center" wrapText="1"/>
    </xf>
    <xf numFmtId="0" fontId="5" fillId="2" borderId="12" xfId="333" applyFont="1" applyFill="1" applyBorder="1" applyAlignment="1">
      <alignment horizontal="center" vertical="center" wrapText="1"/>
    </xf>
    <xf numFmtId="0" fontId="5" fillId="10" borderId="1" xfId="333" applyFont="1" applyFill="1" applyBorder="1" applyAlignment="1">
      <alignment horizontal="center" vertical="center" wrapText="1"/>
    </xf>
    <xf numFmtId="0" fontId="5" fillId="10" borderId="12" xfId="333" applyFont="1" applyFill="1" applyBorder="1" applyAlignment="1">
      <alignment horizontal="center" vertical="center" wrapText="1"/>
    </xf>
    <xf numFmtId="0" fontId="5" fillId="10" borderId="6" xfId="333" applyFont="1" applyFill="1" applyBorder="1" applyAlignment="1">
      <alignment horizontal="center" vertical="center" wrapText="1"/>
    </xf>
    <xf numFmtId="170" fontId="6" fillId="10" borderId="2" xfId="1" applyNumberFormat="1" applyFont="1" applyFill="1" applyBorder="1" applyAlignment="1">
      <alignment horizontal="center" vertical="center"/>
    </xf>
    <xf numFmtId="170" fontId="6" fillId="10" borderId="7" xfId="1" applyNumberFormat="1" applyFont="1" applyFill="1" applyBorder="1" applyAlignment="1">
      <alignment horizontal="center" vertical="center"/>
    </xf>
    <xf numFmtId="0" fontId="5" fillId="10" borderId="2" xfId="333" applyFont="1" applyFill="1" applyBorder="1" applyAlignment="1">
      <alignment horizontal="center" vertical="center" wrapText="1"/>
    </xf>
    <xf numFmtId="0" fontId="5" fillId="10" borderId="3" xfId="333" applyFont="1" applyFill="1" applyBorder="1" applyAlignment="1">
      <alignment horizontal="center" vertical="center" wrapText="1"/>
    </xf>
    <xf numFmtId="0" fontId="5" fillId="10" borderId="7" xfId="333" applyFont="1" applyFill="1" applyBorder="1" applyAlignment="1">
      <alignment horizontal="center" vertical="center" wrapText="1"/>
    </xf>
    <xf numFmtId="0" fontId="5" fillId="10" borderId="8" xfId="333" applyFont="1" applyFill="1" applyBorder="1" applyAlignment="1">
      <alignment horizontal="center" vertical="center" wrapText="1"/>
    </xf>
    <xf numFmtId="0" fontId="5" fillId="2" borderId="2" xfId="333" applyFont="1" applyFill="1" applyBorder="1" applyAlignment="1">
      <alignment horizontal="center" vertical="center" wrapText="1"/>
    </xf>
    <xf numFmtId="0" fontId="5" fillId="2" borderId="3" xfId="333" applyFont="1" applyFill="1" applyBorder="1" applyAlignment="1">
      <alignment horizontal="center" vertical="center" wrapText="1"/>
    </xf>
    <xf numFmtId="0" fontId="5" fillId="2" borderId="9" xfId="333" applyFont="1" applyFill="1" applyBorder="1" applyAlignment="1">
      <alignment horizontal="center" vertical="center" wrapText="1"/>
    </xf>
    <xf numFmtId="0" fontId="5" fillId="2" borderId="10" xfId="333" applyFont="1" applyFill="1" applyBorder="1" applyAlignment="1">
      <alignment horizontal="center" vertical="center" wrapText="1"/>
    </xf>
    <xf numFmtId="0" fontId="5" fillId="2" borderId="7" xfId="333" applyFont="1" applyFill="1" applyBorder="1" applyAlignment="1">
      <alignment horizontal="center" vertical="center" wrapText="1"/>
    </xf>
    <xf numFmtId="0" fontId="5" fillId="2" borderId="8" xfId="333" applyFont="1" applyFill="1" applyBorder="1" applyAlignment="1">
      <alignment horizontal="center" vertical="center" wrapText="1"/>
    </xf>
    <xf numFmtId="166" fontId="5" fillId="2" borderId="2" xfId="1" applyNumberFormat="1" applyFont="1" applyFill="1" applyBorder="1" applyAlignment="1" applyProtection="1">
      <alignment horizontal="center" vertical="center" wrapText="1"/>
    </xf>
    <xf numFmtId="166" fontId="5" fillId="2" borderId="17" xfId="1" applyNumberFormat="1" applyFont="1" applyFill="1" applyBorder="1" applyAlignment="1" applyProtection="1">
      <alignment horizontal="center" vertical="center" wrapText="1"/>
    </xf>
    <xf numFmtId="166" fontId="5" fillId="2" borderId="3" xfId="1" applyNumberFormat="1" applyFont="1" applyFill="1" applyBorder="1" applyAlignment="1" applyProtection="1">
      <alignment horizontal="center" vertical="center" wrapText="1"/>
    </xf>
    <xf numFmtId="166" fontId="5" fillId="2" borderId="7" xfId="1" applyNumberFormat="1" applyFont="1" applyFill="1" applyBorder="1" applyAlignment="1" applyProtection="1">
      <alignment horizontal="center" vertical="center" wrapText="1"/>
    </xf>
    <xf numFmtId="166" fontId="5" fillId="2" borderId="18" xfId="1" applyNumberFormat="1" applyFont="1" applyFill="1" applyBorder="1" applyAlignment="1" applyProtection="1">
      <alignment horizontal="center" vertical="center" wrapText="1"/>
    </xf>
    <xf numFmtId="166" fontId="5" fillId="2" borderId="8" xfId="1" applyNumberFormat="1" applyFont="1" applyFill="1" applyBorder="1" applyAlignment="1" applyProtection="1">
      <alignment horizontal="center" vertical="center" wrapText="1"/>
    </xf>
    <xf numFmtId="0" fontId="20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/>
    <xf numFmtId="0" fontId="19" fillId="0" borderId="0" xfId="0" applyFont="1" applyAlignment="1">
      <alignment horizontal="left" vertical="center" wrapText="1" indent="1"/>
    </xf>
    <xf numFmtId="0" fontId="21" fillId="0" borderId="0" xfId="0" applyFont="1" applyAlignment="1">
      <alignment horizontal="left" vertical="center" wrapText="1" indent="1"/>
    </xf>
    <xf numFmtId="0" fontId="19" fillId="0" borderId="0" xfId="0" applyFont="1"/>
  </cellXfs>
  <cellStyles count="422">
    <cellStyle name="Comma" xfId="1" builtinId="3"/>
    <cellStyle name="Comma [0]" xfId="3" builtinId="6"/>
    <cellStyle name="Comma [0] 10" xfId="4" xr:uid="{00000000-0005-0000-0000-000031000000}"/>
    <cellStyle name="Comma [0] 11" xfId="5" xr:uid="{00000000-0005-0000-0000-000032000000}"/>
    <cellStyle name="Comma [0] 12" xfId="6" xr:uid="{00000000-0005-0000-0000-000033000000}"/>
    <cellStyle name="Comma [0] 13" xfId="7" xr:uid="{00000000-0005-0000-0000-000034000000}"/>
    <cellStyle name="Comma [0] 14" xfId="8" xr:uid="{00000000-0005-0000-0000-000035000000}"/>
    <cellStyle name="Comma [0] 2" xfId="9" xr:uid="{00000000-0005-0000-0000-000036000000}"/>
    <cellStyle name="Comma [0] 2 2" xfId="10" xr:uid="{00000000-0005-0000-0000-000037000000}"/>
    <cellStyle name="Comma [0] 2 2 2" xfId="11" xr:uid="{00000000-0005-0000-0000-000038000000}"/>
    <cellStyle name="Comma [0] 2 3" xfId="12" xr:uid="{00000000-0005-0000-0000-000039000000}"/>
    <cellStyle name="Comma [0] 2 4" xfId="13" xr:uid="{00000000-0005-0000-0000-00003A000000}"/>
    <cellStyle name="Comma [0] 2 5" xfId="14" xr:uid="{00000000-0005-0000-0000-00003B000000}"/>
    <cellStyle name="Comma [0] 2 6" xfId="15" xr:uid="{00000000-0005-0000-0000-00003C000000}"/>
    <cellStyle name="Comma [0] 3" xfId="16" xr:uid="{00000000-0005-0000-0000-00003D000000}"/>
    <cellStyle name="Comma [0] 4" xfId="17" xr:uid="{00000000-0005-0000-0000-00003E000000}"/>
    <cellStyle name="Comma [0] 5" xfId="18" xr:uid="{00000000-0005-0000-0000-00003F000000}"/>
    <cellStyle name="Comma [0] 6" xfId="19" xr:uid="{00000000-0005-0000-0000-000040000000}"/>
    <cellStyle name="Comma [0] 7" xfId="20" xr:uid="{00000000-0005-0000-0000-000041000000}"/>
    <cellStyle name="Comma [0] 8" xfId="21" xr:uid="{00000000-0005-0000-0000-000042000000}"/>
    <cellStyle name="Comma [0] 9" xfId="22" xr:uid="{00000000-0005-0000-0000-000043000000}"/>
    <cellStyle name="Comma 10" xfId="23" xr:uid="{00000000-0005-0000-0000-000044000000}"/>
    <cellStyle name="Comma 10 2" xfId="24" xr:uid="{00000000-0005-0000-0000-000045000000}"/>
    <cellStyle name="Comma 10 2 2" xfId="25" xr:uid="{00000000-0005-0000-0000-000046000000}"/>
    <cellStyle name="Comma 10 2 2 10" xfId="26" xr:uid="{00000000-0005-0000-0000-000047000000}"/>
    <cellStyle name="Comma 10 2 2 11" xfId="27" xr:uid="{00000000-0005-0000-0000-000048000000}"/>
    <cellStyle name="Comma 10 2 2 2" xfId="28" xr:uid="{00000000-0005-0000-0000-000049000000}"/>
    <cellStyle name="Comma 10 2 2 3" xfId="29" xr:uid="{00000000-0005-0000-0000-00004A000000}"/>
    <cellStyle name="Comma 10 2 2 4" xfId="30" xr:uid="{00000000-0005-0000-0000-00004B000000}"/>
    <cellStyle name="Comma 10 2 2 5" xfId="31" xr:uid="{00000000-0005-0000-0000-00004C000000}"/>
    <cellStyle name="Comma 10 2 2 6" xfId="32" xr:uid="{00000000-0005-0000-0000-00004D000000}"/>
    <cellStyle name="Comma 10 2 2 7" xfId="33" xr:uid="{00000000-0005-0000-0000-00004E000000}"/>
    <cellStyle name="Comma 10 2 2 8" xfId="34" xr:uid="{00000000-0005-0000-0000-00004F000000}"/>
    <cellStyle name="Comma 10 2 2 9" xfId="35" xr:uid="{00000000-0005-0000-0000-000050000000}"/>
    <cellStyle name="Comma 10 2 3" xfId="36" xr:uid="{00000000-0005-0000-0000-000051000000}"/>
    <cellStyle name="Comma 10 2 4" xfId="37" xr:uid="{00000000-0005-0000-0000-000052000000}"/>
    <cellStyle name="Comma 10 2 5" xfId="38" xr:uid="{00000000-0005-0000-0000-000053000000}"/>
    <cellStyle name="Comma 10 2 6" xfId="39" xr:uid="{00000000-0005-0000-0000-000054000000}"/>
    <cellStyle name="Comma 10 3" xfId="40" xr:uid="{00000000-0005-0000-0000-000055000000}"/>
    <cellStyle name="Comma 10 4" xfId="41" xr:uid="{00000000-0005-0000-0000-000056000000}"/>
    <cellStyle name="Comma 10 5" xfId="42" xr:uid="{00000000-0005-0000-0000-000057000000}"/>
    <cellStyle name="Comma 10 6" xfId="43" xr:uid="{00000000-0005-0000-0000-000058000000}"/>
    <cellStyle name="Comma 11" xfId="44" xr:uid="{00000000-0005-0000-0000-000059000000}"/>
    <cellStyle name="Comma 11 2" xfId="45" xr:uid="{00000000-0005-0000-0000-00005A000000}"/>
    <cellStyle name="Comma 11 2 2" xfId="46" xr:uid="{00000000-0005-0000-0000-00005B000000}"/>
    <cellStyle name="Comma 11 3" xfId="47" xr:uid="{00000000-0005-0000-0000-00005C000000}"/>
    <cellStyle name="Comma 12" xfId="48" xr:uid="{00000000-0005-0000-0000-00005D000000}"/>
    <cellStyle name="Comma 13" xfId="49" xr:uid="{00000000-0005-0000-0000-00005E000000}"/>
    <cellStyle name="Comma 14" xfId="50" xr:uid="{00000000-0005-0000-0000-00005F000000}"/>
    <cellStyle name="Comma 15" xfId="51" xr:uid="{00000000-0005-0000-0000-000060000000}"/>
    <cellStyle name="Comma 16" xfId="52" xr:uid="{00000000-0005-0000-0000-000061000000}"/>
    <cellStyle name="Comma 17" xfId="53" xr:uid="{00000000-0005-0000-0000-000062000000}"/>
    <cellStyle name="Comma 17 2" xfId="54" xr:uid="{00000000-0005-0000-0000-000063000000}"/>
    <cellStyle name="Comma 18" xfId="55" xr:uid="{00000000-0005-0000-0000-000064000000}"/>
    <cellStyle name="Comma 19" xfId="56" xr:uid="{00000000-0005-0000-0000-000065000000}"/>
    <cellStyle name="Comma 19 2" xfId="57" xr:uid="{00000000-0005-0000-0000-000066000000}"/>
    <cellStyle name="Comma 2" xfId="58" xr:uid="{00000000-0005-0000-0000-000067000000}"/>
    <cellStyle name="Comma 2 10" xfId="59" xr:uid="{00000000-0005-0000-0000-000068000000}"/>
    <cellStyle name="Comma 2 11" xfId="60" xr:uid="{00000000-0005-0000-0000-000069000000}"/>
    <cellStyle name="Comma 2 12" xfId="61" xr:uid="{00000000-0005-0000-0000-00006A000000}"/>
    <cellStyle name="Comma 2 13" xfId="62" xr:uid="{00000000-0005-0000-0000-00006B000000}"/>
    <cellStyle name="Comma 2 14" xfId="63" xr:uid="{00000000-0005-0000-0000-00006C000000}"/>
    <cellStyle name="Comma 2 2" xfId="64" xr:uid="{00000000-0005-0000-0000-00006D000000}"/>
    <cellStyle name="Comma 2 2 2" xfId="65" xr:uid="{00000000-0005-0000-0000-00006E000000}"/>
    <cellStyle name="Comma 2 2 3" xfId="66" xr:uid="{00000000-0005-0000-0000-00006F000000}"/>
    <cellStyle name="Comma 2 2 3 10" xfId="67" xr:uid="{00000000-0005-0000-0000-000070000000}"/>
    <cellStyle name="Comma 2 2 3 11" xfId="68" xr:uid="{00000000-0005-0000-0000-000071000000}"/>
    <cellStyle name="Comma 2 2 3 12" xfId="69" xr:uid="{00000000-0005-0000-0000-000072000000}"/>
    <cellStyle name="Comma 2 2 3 13" xfId="70" xr:uid="{00000000-0005-0000-0000-000073000000}"/>
    <cellStyle name="Comma 2 2 3 14" xfId="71" xr:uid="{00000000-0005-0000-0000-000074000000}"/>
    <cellStyle name="Comma 2 2 3 15" xfId="72" xr:uid="{00000000-0005-0000-0000-000075000000}"/>
    <cellStyle name="Comma 2 2 3 16" xfId="73" xr:uid="{00000000-0005-0000-0000-000076000000}"/>
    <cellStyle name="Comma 2 2 3 17" xfId="74" xr:uid="{00000000-0005-0000-0000-000077000000}"/>
    <cellStyle name="Comma 2 2 3 18" xfId="75" xr:uid="{00000000-0005-0000-0000-000078000000}"/>
    <cellStyle name="Comma 2 2 3 19" xfId="76" xr:uid="{00000000-0005-0000-0000-000079000000}"/>
    <cellStyle name="Comma 2 2 3 2" xfId="77" xr:uid="{00000000-0005-0000-0000-00007A000000}"/>
    <cellStyle name="Comma 2 2 3 2 2" xfId="78" xr:uid="{00000000-0005-0000-0000-00007B000000}"/>
    <cellStyle name="Comma 2 2 3 20" xfId="79" xr:uid="{00000000-0005-0000-0000-00007C000000}"/>
    <cellStyle name="Comma 2 2 3 21" xfId="80" xr:uid="{00000000-0005-0000-0000-00007D000000}"/>
    <cellStyle name="Comma 2 2 3 22" xfId="81" xr:uid="{00000000-0005-0000-0000-00007E000000}"/>
    <cellStyle name="Comma 2 2 3 23" xfId="82" xr:uid="{00000000-0005-0000-0000-00007F000000}"/>
    <cellStyle name="Comma 2 2 3 3" xfId="83" xr:uid="{00000000-0005-0000-0000-000080000000}"/>
    <cellStyle name="Comma 2 2 3 3 2" xfId="84" xr:uid="{00000000-0005-0000-0000-000081000000}"/>
    <cellStyle name="Comma 2 2 3 4" xfId="85" xr:uid="{00000000-0005-0000-0000-000082000000}"/>
    <cellStyle name="Comma 2 2 3 4 2" xfId="86" xr:uid="{00000000-0005-0000-0000-000083000000}"/>
    <cellStyle name="Comma 2 2 3 5" xfId="87" xr:uid="{00000000-0005-0000-0000-000084000000}"/>
    <cellStyle name="Comma 2 2 3 5 2" xfId="88" xr:uid="{00000000-0005-0000-0000-000085000000}"/>
    <cellStyle name="Comma 2 2 3 6" xfId="89" xr:uid="{00000000-0005-0000-0000-000086000000}"/>
    <cellStyle name="Comma 2 2 3 6 2" xfId="90" xr:uid="{00000000-0005-0000-0000-000087000000}"/>
    <cellStyle name="Comma 2 2 3 7" xfId="91" xr:uid="{00000000-0005-0000-0000-000088000000}"/>
    <cellStyle name="Comma 2 2 3 7 2" xfId="92" xr:uid="{00000000-0005-0000-0000-000089000000}"/>
    <cellStyle name="Comma 2 2 3 8" xfId="93" xr:uid="{00000000-0005-0000-0000-00008A000000}"/>
    <cellStyle name="Comma 2 2 3 8 2" xfId="94" xr:uid="{00000000-0005-0000-0000-00008B000000}"/>
    <cellStyle name="Comma 2 2 3 9" xfId="95" xr:uid="{00000000-0005-0000-0000-00008C000000}"/>
    <cellStyle name="Comma 2 2 3 9 2" xfId="96" xr:uid="{00000000-0005-0000-0000-00008D000000}"/>
    <cellStyle name="Comma 2 2 4" xfId="97" xr:uid="{00000000-0005-0000-0000-00008E000000}"/>
    <cellStyle name="Comma 2 2 4 10" xfId="98" xr:uid="{00000000-0005-0000-0000-00008F000000}"/>
    <cellStyle name="Comma 2 2 4 11" xfId="99" xr:uid="{00000000-0005-0000-0000-000090000000}"/>
    <cellStyle name="Comma 2 2 4 12" xfId="100" xr:uid="{00000000-0005-0000-0000-000091000000}"/>
    <cellStyle name="Comma 2 2 4 13" xfId="101" xr:uid="{00000000-0005-0000-0000-000092000000}"/>
    <cellStyle name="Comma 2 2 4 14" xfId="102" xr:uid="{00000000-0005-0000-0000-000093000000}"/>
    <cellStyle name="Comma 2 2 4 15" xfId="103" xr:uid="{00000000-0005-0000-0000-000094000000}"/>
    <cellStyle name="Comma 2 2 4 16" xfId="104" xr:uid="{00000000-0005-0000-0000-000095000000}"/>
    <cellStyle name="Comma 2 2 4 17" xfId="105" xr:uid="{00000000-0005-0000-0000-000096000000}"/>
    <cellStyle name="Comma 2 2 4 18" xfId="106" xr:uid="{00000000-0005-0000-0000-000097000000}"/>
    <cellStyle name="Comma 2 2 4 19" xfId="107" xr:uid="{00000000-0005-0000-0000-000098000000}"/>
    <cellStyle name="Comma 2 2 4 2" xfId="108" xr:uid="{00000000-0005-0000-0000-000099000000}"/>
    <cellStyle name="Comma 2 2 4 2 2" xfId="109" xr:uid="{00000000-0005-0000-0000-00009A000000}"/>
    <cellStyle name="Comma 2 2 4 20" xfId="110" xr:uid="{00000000-0005-0000-0000-00009B000000}"/>
    <cellStyle name="Comma 2 2 4 21" xfId="111" xr:uid="{00000000-0005-0000-0000-00009C000000}"/>
    <cellStyle name="Comma 2 2 4 22" xfId="112" xr:uid="{00000000-0005-0000-0000-00009D000000}"/>
    <cellStyle name="Comma 2 2 4 23" xfId="113" xr:uid="{00000000-0005-0000-0000-00009E000000}"/>
    <cellStyle name="Comma 2 2 4 3" xfId="114" xr:uid="{00000000-0005-0000-0000-00009F000000}"/>
    <cellStyle name="Comma 2 2 4 3 2" xfId="115" xr:uid="{00000000-0005-0000-0000-0000A0000000}"/>
    <cellStyle name="Comma 2 2 4 4" xfId="116" xr:uid="{00000000-0005-0000-0000-0000A1000000}"/>
    <cellStyle name="Comma 2 2 4 4 2" xfId="117" xr:uid="{00000000-0005-0000-0000-0000A2000000}"/>
    <cellStyle name="Comma 2 2 4 5" xfId="118" xr:uid="{00000000-0005-0000-0000-0000A3000000}"/>
    <cellStyle name="Comma 2 2 4 5 2" xfId="119" xr:uid="{00000000-0005-0000-0000-0000A4000000}"/>
    <cellStyle name="Comma 2 2 4 6" xfId="120" xr:uid="{00000000-0005-0000-0000-0000A5000000}"/>
    <cellStyle name="Comma 2 2 4 6 2" xfId="121" xr:uid="{00000000-0005-0000-0000-0000A6000000}"/>
    <cellStyle name="Comma 2 2 4 7" xfId="122" xr:uid="{00000000-0005-0000-0000-0000A7000000}"/>
    <cellStyle name="Comma 2 2 4 7 2" xfId="123" xr:uid="{00000000-0005-0000-0000-0000A8000000}"/>
    <cellStyle name="Comma 2 2 4 8" xfId="124" xr:uid="{00000000-0005-0000-0000-0000A9000000}"/>
    <cellStyle name="Comma 2 2 4 8 2" xfId="125" xr:uid="{00000000-0005-0000-0000-0000AA000000}"/>
    <cellStyle name="Comma 2 2 4 9" xfId="126" xr:uid="{00000000-0005-0000-0000-0000AB000000}"/>
    <cellStyle name="Comma 2 2 4 9 2" xfId="127" xr:uid="{00000000-0005-0000-0000-0000AC000000}"/>
    <cellStyle name="Comma 2 2 5" xfId="128" xr:uid="{00000000-0005-0000-0000-0000AD000000}"/>
    <cellStyle name="Comma 2 2 6" xfId="129" xr:uid="{00000000-0005-0000-0000-0000AE000000}"/>
    <cellStyle name="Comma 2 2 7" xfId="130" xr:uid="{00000000-0005-0000-0000-0000AF000000}"/>
    <cellStyle name="Comma 2 2 8" xfId="131" xr:uid="{00000000-0005-0000-0000-0000B0000000}"/>
    <cellStyle name="Comma 2 2 9" xfId="132" xr:uid="{00000000-0005-0000-0000-0000B1000000}"/>
    <cellStyle name="Comma 2 3" xfId="133" xr:uid="{00000000-0005-0000-0000-0000B2000000}"/>
    <cellStyle name="Comma 2 3 10" xfId="134" xr:uid="{00000000-0005-0000-0000-0000B3000000}"/>
    <cellStyle name="Comma 2 3 11" xfId="135" xr:uid="{00000000-0005-0000-0000-0000B4000000}"/>
    <cellStyle name="Comma 2 3 12" xfId="136" xr:uid="{00000000-0005-0000-0000-0000B5000000}"/>
    <cellStyle name="Comma 2 3 13" xfId="137" xr:uid="{00000000-0005-0000-0000-0000B6000000}"/>
    <cellStyle name="Comma 2 3 14" xfId="138" xr:uid="{00000000-0005-0000-0000-0000B7000000}"/>
    <cellStyle name="Comma 2 3 15" xfId="139" xr:uid="{00000000-0005-0000-0000-0000B8000000}"/>
    <cellStyle name="Comma 2 3 16" xfId="140" xr:uid="{00000000-0005-0000-0000-0000B9000000}"/>
    <cellStyle name="Comma 2 3 17" xfId="141" xr:uid="{00000000-0005-0000-0000-0000BA000000}"/>
    <cellStyle name="Comma 2 3 18" xfId="142" xr:uid="{00000000-0005-0000-0000-0000BB000000}"/>
    <cellStyle name="Comma 2 3 19" xfId="143" xr:uid="{00000000-0005-0000-0000-0000BC000000}"/>
    <cellStyle name="Comma 2 3 2" xfId="144" xr:uid="{00000000-0005-0000-0000-0000BD000000}"/>
    <cellStyle name="Comma 2 3 2 2" xfId="145" xr:uid="{00000000-0005-0000-0000-0000BE000000}"/>
    <cellStyle name="Comma 2 3 20" xfId="146" xr:uid="{00000000-0005-0000-0000-0000BF000000}"/>
    <cellStyle name="Comma 2 3 3" xfId="147" xr:uid="{00000000-0005-0000-0000-0000C0000000}"/>
    <cellStyle name="Comma 2 3 3 2" xfId="148" xr:uid="{00000000-0005-0000-0000-0000C1000000}"/>
    <cellStyle name="Comma 2 3 4" xfId="149" xr:uid="{00000000-0005-0000-0000-0000C2000000}"/>
    <cellStyle name="Comma 2 3 4 2" xfId="150" xr:uid="{00000000-0005-0000-0000-0000C3000000}"/>
    <cellStyle name="Comma 2 3 5" xfId="151" xr:uid="{00000000-0005-0000-0000-0000C4000000}"/>
    <cellStyle name="Comma 2 3 5 2" xfId="152" xr:uid="{00000000-0005-0000-0000-0000C5000000}"/>
    <cellStyle name="Comma 2 3 6" xfId="153" xr:uid="{00000000-0005-0000-0000-0000C6000000}"/>
    <cellStyle name="Comma 2 3 6 2" xfId="154" xr:uid="{00000000-0005-0000-0000-0000C7000000}"/>
    <cellStyle name="Comma 2 3 7" xfId="155" xr:uid="{00000000-0005-0000-0000-0000C8000000}"/>
    <cellStyle name="Comma 2 3 8" xfId="156" xr:uid="{00000000-0005-0000-0000-0000C9000000}"/>
    <cellStyle name="Comma 2 3 9" xfId="157" xr:uid="{00000000-0005-0000-0000-0000CA000000}"/>
    <cellStyle name="Comma 2 4" xfId="158" xr:uid="{00000000-0005-0000-0000-0000CB000000}"/>
    <cellStyle name="Comma 2 4 2" xfId="159" xr:uid="{00000000-0005-0000-0000-0000CC000000}"/>
    <cellStyle name="Comma 2 5" xfId="160" xr:uid="{00000000-0005-0000-0000-0000CD000000}"/>
    <cellStyle name="Comma 2 5 2" xfId="161" xr:uid="{00000000-0005-0000-0000-0000CE000000}"/>
    <cellStyle name="Comma 2 6" xfId="162" xr:uid="{00000000-0005-0000-0000-0000CF000000}"/>
    <cellStyle name="Comma 2 7" xfId="163" xr:uid="{00000000-0005-0000-0000-0000D0000000}"/>
    <cellStyle name="Comma 2 8" xfId="164" xr:uid="{00000000-0005-0000-0000-0000D1000000}"/>
    <cellStyle name="Comma 2 9" xfId="165" xr:uid="{00000000-0005-0000-0000-0000D2000000}"/>
    <cellStyle name="Comma 20" xfId="166" xr:uid="{00000000-0005-0000-0000-0000D3000000}"/>
    <cellStyle name="Comma 21" xfId="167" xr:uid="{00000000-0005-0000-0000-0000D4000000}"/>
    <cellStyle name="Comma 22" xfId="168" xr:uid="{00000000-0005-0000-0000-0000D5000000}"/>
    <cellStyle name="Comma 22 2" xfId="169" xr:uid="{00000000-0005-0000-0000-0000D6000000}"/>
    <cellStyle name="Comma 23" xfId="170" xr:uid="{00000000-0005-0000-0000-0000D7000000}"/>
    <cellStyle name="Comma 23 2" xfId="171" xr:uid="{00000000-0005-0000-0000-0000D8000000}"/>
    <cellStyle name="Comma 24" xfId="172" xr:uid="{00000000-0005-0000-0000-0000D9000000}"/>
    <cellStyle name="Comma 25" xfId="173" xr:uid="{00000000-0005-0000-0000-0000DA000000}"/>
    <cellStyle name="Comma 26" xfId="174" xr:uid="{00000000-0005-0000-0000-0000DB000000}"/>
    <cellStyle name="Comma 27" xfId="175" xr:uid="{00000000-0005-0000-0000-0000DC000000}"/>
    <cellStyle name="Comma 28" xfId="176" xr:uid="{00000000-0005-0000-0000-0000DD000000}"/>
    <cellStyle name="Comma 29" xfId="177" xr:uid="{00000000-0005-0000-0000-0000DE000000}"/>
    <cellStyle name="Comma 3" xfId="178" xr:uid="{00000000-0005-0000-0000-0000DF000000}"/>
    <cellStyle name="Comma 3 10" xfId="179" xr:uid="{00000000-0005-0000-0000-0000E0000000}"/>
    <cellStyle name="Comma 3 11" xfId="180" xr:uid="{00000000-0005-0000-0000-0000E1000000}"/>
    <cellStyle name="Comma 3 12" xfId="181" xr:uid="{00000000-0005-0000-0000-0000E2000000}"/>
    <cellStyle name="Comma 3 13" xfId="182" xr:uid="{00000000-0005-0000-0000-0000E3000000}"/>
    <cellStyle name="Comma 3 14" xfId="183" xr:uid="{00000000-0005-0000-0000-0000E4000000}"/>
    <cellStyle name="Comma 3 15" xfId="184" xr:uid="{00000000-0005-0000-0000-0000E5000000}"/>
    <cellStyle name="Comma 3 16" xfId="185" xr:uid="{00000000-0005-0000-0000-0000E6000000}"/>
    <cellStyle name="Comma 3 17" xfId="186" xr:uid="{00000000-0005-0000-0000-0000E7000000}"/>
    <cellStyle name="Comma 3 18" xfId="187" xr:uid="{00000000-0005-0000-0000-0000E8000000}"/>
    <cellStyle name="Comma 3 19" xfId="188" xr:uid="{00000000-0005-0000-0000-0000E9000000}"/>
    <cellStyle name="Comma 3 2" xfId="189" xr:uid="{00000000-0005-0000-0000-0000EA000000}"/>
    <cellStyle name="Comma 3 2 2" xfId="190" xr:uid="{00000000-0005-0000-0000-0000EB000000}"/>
    <cellStyle name="Comma 3 20" xfId="191" xr:uid="{00000000-0005-0000-0000-0000EC000000}"/>
    <cellStyle name="Comma 3 21" xfId="192" xr:uid="{00000000-0005-0000-0000-0000ED000000}"/>
    <cellStyle name="Comma 3 22" xfId="193" xr:uid="{00000000-0005-0000-0000-0000EE000000}"/>
    <cellStyle name="Comma 3 23" xfId="194" xr:uid="{00000000-0005-0000-0000-0000EF000000}"/>
    <cellStyle name="Comma 3 24" xfId="195" xr:uid="{00000000-0005-0000-0000-0000F0000000}"/>
    <cellStyle name="Comma 3 25" xfId="196" xr:uid="{00000000-0005-0000-0000-0000F1000000}"/>
    <cellStyle name="Comma 3 26" xfId="197" xr:uid="{00000000-0005-0000-0000-0000F2000000}"/>
    <cellStyle name="Comma 3 3" xfId="198" xr:uid="{00000000-0005-0000-0000-0000F3000000}"/>
    <cellStyle name="Comma 3 4" xfId="199" xr:uid="{00000000-0005-0000-0000-0000F4000000}"/>
    <cellStyle name="Comma 3 5" xfId="200" xr:uid="{00000000-0005-0000-0000-0000F5000000}"/>
    <cellStyle name="Comma 3 6" xfId="201" xr:uid="{00000000-0005-0000-0000-0000F6000000}"/>
    <cellStyle name="Comma 3 7" xfId="202" xr:uid="{00000000-0005-0000-0000-0000F7000000}"/>
    <cellStyle name="Comma 3 8" xfId="203" xr:uid="{00000000-0005-0000-0000-0000F8000000}"/>
    <cellStyle name="Comma 3 9" xfId="204" xr:uid="{00000000-0005-0000-0000-0000F9000000}"/>
    <cellStyle name="Comma 30" xfId="205" xr:uid="{00000000-0005-0000-0000-0000FA000000}"/>
    <cellStyle name="Comma 31" xfId="206" xr:uid="{00000000-0005-0000-0000-0000FB000000}"/>
    <cellStyle name="Comma 32" xfId="207" xr:uid="{00000000-0005-0000-0000-0000FC000000}"/>
    <cellStyle name="Comma 33" xfId="208" xr:uid="{00000000-0005-0000-0000-0000FD000000}"/>
    <cellStyle name="Comma 34" xfId="209" xr:uid="{00000000-0005-0000-0000-0000FE000000}"/>
    <cellStyle name="Comma 35" xfId="210" xr:uid="{00000000-0005-0000-0000-0000FF000000}"/>
    <cellStyle name="Comma 36" xfId="211" xr:uid="{00000000-0005-0000-0000-000000010000}"/>
    <cellStyle name="Comma 37" xfId="212" xr:uid="{00000000-0005-0000-0000-000001010000}"/>
    <cellStyle name="Comma 38" xfId="213" xr:uid="{00000000-0005-0000-0000-000002010000}"/>
    <cellStyle name="Comma 39" xfId="214" xr:uid="{00000000-0005-0000-0000-000003010000}"/>
    <cellStyle name="Comma 4" xfId="215" xr:uid="{00000000-0005-0000-0000-000004010000}"/>
    <cellStyle name="Comma 4 2" xfId="216" xr:uid="{00000000-0005-0000-0000-000005010000}"/>
    <cellStyle name="Comma 4 3" xfId="217" xr:uid="{00000000-0005-0000-0000-000006010000}"/>
    <cellStyle name="Comma 4 4" xfId="218" xr:uid="{00000000-0005-0000-0000-000007010000}"/>
    <cellStyle name="Comma 4 5" xfId="219" xr:uid="{00000000-0005-0000-0000-000008010000}"/>
    <cellStyle name="Comma 4 6" xfId="220" xr:uid="{00000000-0005-0000-0000-000009010000}"/>
    <cellStyle name="Comma 4 7" xfId="221" xr:uid="{00000000-0005-0000-0000-00000A010000}"/>
    <cellStyle name="Comma 40" xfId="222" xr:uid="{00000000-0005-0000-0000-00000B010000}"/>
    <cellStyle name="Comma 41" xfId="223" xr:uid="{00000000-0005-0000-0000-00000C010000}"/>
    <cellStyle name="Comma 42" xfId="224" xr:uid="{00000000-0005-0000-0000-00000D010000}"/>
    <cellStyle name="Comma 43" xfId="225" xr:uid="{00000000-0005-0000-0000-00000E010000}"/>
    <cellStyle name="Comma 44" xfId="226" xr:uid="{00000000-0005-0000-0000-00000F010000}"/>
    <cellStyle name="Comma 45" xfId="227" xr:uid="{00000000-0005-0000-0000-000010010000}"/>
    <cellStyle name="Comma 46" xfId="228" xr:uid="{00000000-0005-0000-0000-000011010000}"/>
    <cellStyle name="Comma 47" xfId="229" xr:uid="{00000000-0005-0000-0000-000012010000}"/>
    <cellStyle name="Comma 48" xfId="230" xr:uid="{00000000-0005-0000-0000-000013010000}"/>
    <cellStyle name="Comma 49" xfId="231" xr:uid="{00000000-0005-0000-0000-000014010000}"/>
    <cellStyle name="Comma 5" xfId="232" xr:uid="{00000000-0005-0000-0000-000015010000}"/>
    <cellStyle name="Comma 50" xfId="233" xr:uid="{00000000-0005-0000-0000-000016010000}"/>
    <cellStyle name="Comma 51" xfId="234" xr:uid="{00000000-0005-0000-0000-000017010000}"/>
    <cellStyle name="Comma 52" xfId="235" xr:uid="{00000000-0005-0000-0000-000018010000}"/>
    <cellStyle name="Comma 53" xfId="236" xr:uid="{00000000-0005-0000-0000-000019010000}"/>
    <cellStyle name="Comma 54" xfId="237" xr:uid="{00000000-0005-0000-0000-00001A010000}"/>
    <cellStyle name="Comma 55" xfId="238" xr:uid="{00000000-0005-0000-0000-00001B010000}"/>
    <cellStyle name="Comma 56" xfId="239" xr:uid="{00000000-0005-0000-0000-00001C010000}"/>
    <cellStyle name="Comma 57" xfId="240" xr:uid="{00000000-0005-0000-0000-00001D010000}"/>
    <cellStyle name="Comma 58" xfId="241" xr:uid="{00000000-0005-0000-0000-00001E010000}"/>
    <cellStyle name="Comma 59" xfId="242" xr:uid="{00000000-0005-0000-0000-00001F010000}"/>
    <cellStyle name="Comma 6" xfId="243" xr:uid="{00000000-0005-0000-0000-000020010000}"/>
    <cellStyle name="Comma 60" xfId="244" xr:uid="{00000000-0005-0000-0000-000021010000}"/>
    <cellStyle name="Comma 61" xfId="245" xr:uid="{00000000-0005-0000-0000-000022010000}"/>
    <cellStyle name="Comma 62" xfId="246" xr:uid="{00000000-0005-0000-0000-000023010000}"/>
    <cellStyle name="Comma 63" xfId="247" xr:uid="{00000000-0005-0000-0000-000024010000}"/>
    <cellStyle name="Comma 64" xfId="248" xr:uid="{00000000-0005-0000-0000-000025010000}"/>
    <cellStyle name="Comma 65" xfId="249" xr:uid="{00000000-0005-0000-0000-000026010000}"/>
    <cellStyle name="Comma 66" xfId="250" xr:uid="{00000000-0005-0000-0000-000027010000}"/>
    <cellStyle name="Comma 67" xfId="251" xr:uid="{00000000-0005-0000-0000-000028010000}"/>
    <cellStyle name="Comma 68" xfId="252" xr:uid="{00000000-0005-0000-0000-000029010000}"/>
    <cellStyle name="Comma 69" xfId="253" xr:uid="{00000000-0005-0000-0000-00002A010000}"/>
    <cellStyle name="Comma 7" xfId="254" xr:uid="{00000000-0005-0000-0000-00002B010000}"/>
    <cellStyle name="Comma 7 10" xfId="255" xr:uid="{00000000-0005-0000-0000-00002C010000}"/>
    <cellStyle name="Comma 7 11" xfId="256" xr:uid="{00000000-0005-0000-0000-00002D010000}"/>
    <cellStyle name="Comma 7 12" xfId="257" xr:uid="{00000000-0005-0000-0000-00002E010000}"/>
    <cellStyle name="Comma 7 13" xfId="258" xr:uid="{00000000-0005-0000-0000-00002F010000}"/>
    <cellStyle name="Comma 7 14" xfId="259" xr:uid="{00000000-0005-0000-0000-000030010000}"/>
    <cellStyle name="Comma 7 15" xfId="260" xr:uid="{00000000-0005-0000-0000-000031010000}"/>
    <cellStyle name="Comma 7 16" xfId="261" xr:uid="{00000000-0005-0000-0000-000032010000}"/>
    <cellStyle name="Comma 7 17" xfId="262" xr:uid="{00000000-0005-0000-0000-000033010000}"/>
    <cellStyle name="Comma 7 18" xfId="263" xr:uid="{00000000-0005-0000-0000-000034010000}"/>
    <cellStyle name="Comma 7 19" xfId="264" xr:uid="{00000000-0005-0000-0000-000035010000}"/>
    <cellStyle name="Comma 7 2" xfId="265" xr:uid="{00000000-0005-0000-0000-000036010000}"/>
    <cellStyle name="Comma 7 2 2" xfId="266" xr:uid="{00000000-0005-0000-0000-000037010000}"/>
    <cellStyle name="Comma 7 20" xfId="267" xr:uid="{00000000-0005-0000-0000-000038010000}"/>
    <cellStyle name="Comma 7 21" xfId="268" xr:uid="{00000000-0005-0000-0000-000039010000}"/>
    <cellStyle name="Comma 7 22" xfId="269" xr:uid="{00000000-0005-0000-0000-00003A010000}"/>
    <cellStyle name="Comma 7 23" xfId="270" xr:uid="{00000000-0005-0000-0000-00003B010000}"/>
    <cellStyle name="Comma 7 3" xfId="271" xr:uid="{00000000-0005-0000-0000-00003C010000}"/>
    <cellStyle name="Comma 7 3 2" xfId="272" xr:uid="{00000000-0005-0000-0000-00003D010000}"/>
    <cellStyle name="Comma 7 4" xfId="273" xr:uid="{00000000-0005-0000-0000-00003E010000}"/>
    <cellStyle name="Comma 7 4 2" xfId="274" xr:uid="{00000000-0005-0000-0000-00003F010000}"/>
    <cellStyle name="Comma 7 5" xfId="275" xr:uid="{00000000-0005-0000-0000-000040010000}"/>
    <cellStyle name="Comma 7 5 2" xfId="276" xr:uid="{00000000-0005-0000-0000-000041010000}"/>
    <cellStyle name="Comma 7 6" xfId="277" xr:uid="{00000000-0005-0000-0000-000042010000}"/>
    <cellStyle name="Comma 7 6 2" xfId="278" xr:uid="{00000000-0005-0000-0000-000043010000}"/>
    <cellStyle name="Comma 7 7" xfId="279" xr:uid="{00000000-0005-0000-0000-000044010000}"/>
    <cellStyle name="Comma 7 7 2" xfId="280" xr:uid="{00000000-0005-0000-0000-000045010000}"/>
    <cellStyle name="Comma 7 8" xfId="281" xr:uid="{00000000-0005-0000-0000-000046010000}"/>
    <cellStyle name="Comma 7 8 2" xfId="282" xr:uid="{00000000-0005-0000-0000-000047010000}"/>
    <cellStyle name="Comma 7 9" xfId="283" xr:uid="{00000000-0005-0000-0000-000048010000}"/>
    <cellStyle name="Comma 7 9 2" xfId="284" xr:uid="{00000000-0005-0000-0000-000049010000}"/>
    <cellStyle name="Comma 70" xfId="285" xr:uid="{00000000-0005-0000-0000-00004A010000}"/>
    <cellStyle name="Comma 71" xfId="286" xr:uid="{00000000-0005-0000-0000-00004B010000}"/>
    <cellStyle name="Comma 72" xfId="287" xr:uid="{00000000-0005-0000-0000-00004C010000}"/>
    <cellStyle name="Comma 73" xfId="288" xr:uid="{00000000-0005-0000-0000-00004D010000}"/>
    <cellStyle name="Comma 74" xfId="289" xr:uid="{00000000-0005-0000-0000-00004E010000}"/>
    <cellStyle name="Comma 75" xfId="290" xr:uid="{00000000-0005-0000-0000-00004F010000}"/>
    <cellStyle name="Comma 76" xfId="291" xr:uid="{00000000-0005-0000-0000-000050010000}"/>
    <cellStyle name="Comma 77" xfId="292" xr:uid="{00000000-0005-0000-0000-000051010000}"/>
    <cellStyle name="Comma 78" xfId="293" xr:uid="{00000000-0005-0000-0000-000052010000}"/>
    <cellStyle name="Comma 79" xfId="294" xr:uid="{00000000-0005-0000-0000-000053010000}"/>
    <cellStyle name="Comma 8" xfId="295" xr:uid="{00000000-0005-0000-0000-000054010000}"/>
    <cellStyle name="Comma 8 2" xfId="296" xr:uid="{00000000-0005-0000-0000-000055010000}"/>
    <cellStyle name="Comma 8 2 2" xfId="297" xr:uid="{00000000-0005-0000-0000-000056010000}"/>
    <cellStyle name="Comma 80" xfId="298" xr:uid="{00000000-0005-0000-0000-000057010000}"/>
    <cellStyle name="Comma 81" xfId="299" xr:uid="{00000000-0005-0000-0000-000058010000}"/>
    <cellStyle name="Comma 82" xfId="300" xr:uid="{00000000-0005-0000-0000-000059010000}"/>
    <cellStyle name="Comma 83" xfId="301" xr:uid="{00000000-0005-0000-0000-00005A010000}"/>
    <cellStyle name="Comma 84" xfId="302" xr:uid="{00000000-0005-0000-0000-00005B010000}"/>
    <cellStyle name="Comma 85" xfId="303" xr:uid="{00000000-0005-0000-0000-00005C010000}"/>
    <cellStyle name="Comma 86" xfId="304" xr:uid="{00000000-0005-0000-0000-00005D010000}"/>
    <cellStyle name="Comma 87" xfId="305" xr:uid="{00000000-0005-0000-0000-00005E010000}"/>
    <cellStyle name="Comma 88" xfId="306" xr:uid="{00000000-0005-0000-0000-00005F010000}"/>
    <cellStyle name="Comma 89" xfId="307" xr:uid="{00000000-0005-0000-0000-000060010000}"/>
    <cellStyle name="Comma 9" xfId="308" xr:uid="{00000000-0005-0000-0000-000061010000}"/>
    <cellStyle name="Comma 90" xfId="309" xr:uid="{00000000-0005-0000-0000-000062010000}"/>
    <cellStyle name="Excel Built-in Comma [0]" xfId="310" xr:uid="{00000000-0005-0000-0000-000063010000}"/>
    <cellStyle name="Excel Built-in Comma [0] 2" xfId="311" xr:uid="{00000000-0005-0000-0000-000064010000}"/>
    <cellStyle name="Normal" xfId="0" builtinId="0"/>
    <cellStyle name="Normal 10" xfId="312" xr:uid="{00000000-0005-0000-0000-000065010000}"/>
    <cellStyle name="Normal 10 2" xfId="313" xr:uid="{00000000-0005-0000-0000-000066010000}"/>
    <cellStyle name="Normal 10 2 2" xfId="314" xr:uid="{00000000-0005-0000-0000-000067010000}"/>
    <cellStyle name="Normal 10 2 3" xfId="315" xr:uid="{00000000-0005-0000-0000-000068010000}"/>
    <cellStyle name="Normal 10 2 4" xfId="316" xr:uid="{00000000-0005-0000-0000-000069010000}"/>
    <cellStyle name="Normal 10 3" xfId="317" xr:uid="{00000000-0005-0000-0000-00006A010000}"/>
    <cellStyle name="Normal 10 4" xfId="318" xr:uid="{00000000-0005-0000-0000-00006B010000}"/>
    <cellStyle name="Normal 10 5" xfId="319" xr:uid="{00000000-0005-0000-0000-00006C010000}"/>
    <cellStyle name="Normal 10 6" xfId="320" xr:uid="{00000000-0005-0000-0000-00006D010000}"/>
    <cellStyle name="Normal 10 7" xfId="321" xr:uid="{00000000-0005-0000-0000-00006E010000}"/>
    <cellStyle name="Normal 10 8" xfId="322" xr:uid="{00000000-0005-0000-0000-00006F010000}"/>
    <cellStyle name="Normal 10 9" xfId="323" xr:uid="{00000000-0005-0000-0000-000070010000}"/>
    <cellStyle name="Normal 11" xfId="324" xr:uid="{00000000-0005-0000-0000-000071010000}"/>
    <cellStyle name="Normal 12" xfId="325" xr:uid="{00000000-0005-0000-0000-000072010000}"/>
    <cellStyle name="Normal 13" xfId="326" xr:uid="{00000000-0005-0000-0000-000073010000}"/>
    <cellStyle name="Normal 14" xfId="327" xr:uid="{00000000-0005-0000-0000-000074010000}"/>
    <cellStyle name="Normal 15" xfId="328" xr:uid="{00000000-0005-0000-0000-000075010000}"/>
    <cellStyle name="Normal 16" xfId="329" xr:uid="{00000000-0005-0000-0000-000076010000}"/>
    <cellStyle name="Normal 17" xfId="330" xr:uid="{00000000-0005-0000-0000-000077010000}"/>
    <cellStyle name="Normal 18" xfId="331" xr:uid="{00000000-0005-0000-0000-000078010000}"/>
    <cellStyle name="Normal 19" xfId="332" xr:uid="{00000000-0005-0000-0000-000079010000}"/>
    <cellStyle name="Normal 2" xfId="333" xr:uid="{00000000-0005-0000-0000-00007A010000}"/>
    <cellStyle name="Normal 2 10" xfId="334" xr:uid="{00000000-0005-0000-0000-00007B010000}"/>
    <cellStyle name="Normal 2 11" xfId="335" xr:uid="{00000000-0005-0000-0000-00007C010000}"/>
    <cellStyle name="Normal 2 12" xfId="336" xr:uid="{00000000-0005-0000-0000-00007D010000}"/>
    <cellStyle name="Normal 2 13" xfId="337" xr:uid="{00000000-0005-0000-0000-00007E010000}"/>
    <cellStyle name="Normal 2 14" xfId="338" xr:uid="{00000000-0005-0000-0000-00007F010000}"/>
    <cellStyle name="Normal 2 15" xfId="339" xr:uid="{00000000-0005-0000-0000-000080010000}"/>
    <cellStyle name="Normal 2 16" xfId="340" xr:uid="{00000000-0005-0000-0000-000081010000}"/>
    <cellStyle name="Normal 2 17" xfId="341" xr:uid="{00000000-0005-0000-0000-000082010000}"/>
    <cellStyle name="Normal 2 18" xfId="342" xr:uid="{00000000-0005-0000-0000-000083010000}"/>
    <cellStyle name="Normal 2 19" xfId="343" xr:uid="{00000000-0005-0000-0000-000084010000}"/>
    <cellStyle name="Normal 2 2" xfId="344" xr:uid="{00000000-0005-0000-0000-000085010000}"/>
    <cellStyle name="Normal 2 2 2" xfId="345" xr:uid="{00000000-0005-0000-0000-000086010000}"/>
    <cellStyle name="Normal 2 2 2 2" xfId="346" xr:uid="{00000000-0005-0000-0000-000087010000}"/>
    <cellStyle name="Normal 2 2 2 3" xfId="347" xr:uid="{00000000-0005-0000-0000-000088010000}"/>
    <cellStyle name="Normal 2 2 2 4" xfId="348" xr:uid="{00000000-0005-0000-0000-000089010000}"/>
    <cellStyle name="Normal 2 2 3" xfId="349" xr:uid="{00000000-0005-0000-0000-00008A010000}"/>
    <cellStyle name="Normal 2 2 4" xfId="350" xr:uid="{00000000-0005-0000-0000-00008B010000}"/>
    <cellStyle name="Normal 2 2 5" xfId="351" xr:uid="{00000000-0005-0000-0000-00008C010000}"/>
    <cellStyle name="Normal 2 2 6" xfId="352" xr:uid="{00000000-0005-0000-0000-00008D010000}"/>
    <cellStyle name="Normal 2 2 7" xfId="353" xr:uid="{00000000-0005-0000-0000-00008E010000}"/>
    <cellStyle name="Normal 2 2 8" xfId="354" xr:uid="{00000000-0005-0000-0000-00008F010000}"/>
    <cellStyle name="Normal 2 2 9" xfId="355" xr:uid="{00000000-0005-0000-0000-000090010000}"/>
    <cellStyle name="Normal 2 20" xfId="356" xr:uid="{00000000-0005-0000-0000-000091010000}"/>
    <cellStyle name="Normal 2 21" xfId="357" xr:uid="{00000000-0005-0000-0000-000092010000}"/>
    <cellStyle name="Normal 2 22" xfId="358" xr:uid="{00000000-0005-0000-0000-000093010000}"/>
    <cellStyle name="Normal 2 3" xfId="359" xr:uid="{00000000-0005-0000-0000-000094010000}"/>
    <cellStyle name="Normal 2 4" xfId="360" xr:uid="{00000000-0005-0000-0000-000095010000}"/>
    <cellStyle name="Normal 2 5" xfId="361" xr:uid="{00000000-0005-0000-0000-000096010000}"/>
    <cellStyle name="Normal 2 5 2" xfId="362" xr:uid="{00000000-0005-0000-0000-000097010000}"/>
    <cellStyle name="Normal 2 5 3" xfId="363" xr:uid="{00000000-0005-0000-0000-000098010000}"/>
    <cellStyle name="Normal 2 6" xfId="364" xr:uid="{00000000-0005-0000-0000-000099010000}"/>
    <cellStyle name="Normal 2 6 2" xfId="365" xr:uid="{00000000-0005-0000-0000-00009A010000}"/>
    <cellStyle name="Normal 2 7" xfId="366" xr:uid="{00000000-0005-0000-0000-00009B010000}"/>
    <cellStyle name="Normal 2 7 2" xfId="367" xr:uid="{00000000-0005-0000-0000-00009C010000}"/>
    <cellStyle name="Normal 2 8" xfId="368" xr:uid="{00000000-0005-0000-0000-00009D010000}"/>
    <cellStyle name="Normal 2 9" xfId="369" xr:uid="{00000000-0005-0000-0000-00009E010000}"/>
    <cellStyle name="Normal 20" xfId="370" xr:uid="{00000000-0005-0000-0000-00009F010000}"/>
    <cellStyle name="Normal 21" xfId="371" xr:uid="{00000000-0005-0000-0000-0000A0010000}"/>
    <cellStyle name="Normal 22" xfId="372" xr:uid="{00000000-0005-0000-0000-0000A1010000}"/>
    <cellStyle name="Normal 23" xfId="373" xr:uid="{00000000-0005-0000-0000-0000A2010000}"/>
    <cellStyle name="Normal 3" xfId="374" xr:uid="{00000000-0005-0000-0000-0000A3010000}"/>
    <cellStyle name="Normal 3 10" xfId="375" xr:uid="{00000000-0005-0000-0000-0000A4010000}"/>
    <cellStyle name="Normal 3 11" xfId="376" xr:uid="{00000000-0005-0000-0000-0000A5010000}"/>
    <cellStyle name="Normal 3 12" xfId="377" xr:uid="{00000000-0005-0000-0000-0000A6010000}"/>
    <cellStyle name="Normal 3 13" xfId="378" xr:uid="{00000000-0005-0000-0000-0000A7010000}"/>
    <cellStyle name="Normal 3 2" xfId="379" xr:uid="{00000000-0005-0000-0000-0000A8010000}"/>
    <cellStyle name="Normal 3 2 2" xfId="380" xr:uid="{00000000-0005-0000-0000-0000A9010000}"/>
    <cellStyle name="Normal 3 2 3" xfId="381" xr:uid="{00000000-0005-0000-0000-0000AA010000}"/>
    <cellStyle name="Normal 3 2 4" xfId="382" xr:uid="{00000000-0005-0000-0000-0000AB010000}"/>
    <cellStyle name="Normal 3 3" xfId="383" xr:uid="{00000000-0005-0000-0000-0000AC010000}"/>
    <cellStyle name="Normal 3 4" xfId="384" xr:uid="{00000000-0005-0000-0000-0000AD010000}"/>
    <cellStyle name="Normal 3 5" xfId="385" xr:uid="{00000000-0005-0000-0000-0000AE010000}"/>
    <cellStyle name="Normal 3 6" xfId="386" xr:uid="{00000000-0005-0000-0000-0000AF010000}"/>
    <cellStyle name="Normal 3 7" xfId="387" xr:uid="{00000000-0005-0000-0000-0000B0010000}"/>
    <cellStyle name="Normal 3 8" xfId="388" xr:uid="{00000000-0005-0000-0000-0000B1010000}"/>
    <cellStyle name="Normal 3 9" xfId="389" xr:uid="{00000000-0005-0000-0000-0000B2010000}"/>
    <cellStyle name="Normal 4" xfId="390" xr:uid="{00000000-0005-0000-0000-0000B3010000}"/>
    <cellStyle name="Normal 4 2" xfId="391" xr:uid="{00000000-0005-0000-0000-0000B4010000}"/>
    <cellStyle name="Normal 5" xfId="392" xr:uid="{00000000-0005-0000-0000-0000B5010000}"/>
    <cellStyle name="Normal 5 2" xfId="393" xr:uid="{00000000-0005-0000-0000-0000B6010000}"/>
    <cellStyle name="Normal 6" xfId="394" xr:uid="{00000000-0005-0000-0000-0000B7010000}"/>
    <cellStyle name="Normal 6 2" xfId="395" xr:uid="{00000000-0005-0000-0000-0000B8010000}"/>
    <cellStyle name="Normal 7" xfId="396" xr:uid="{00000000-0005-0000-0000-0000B9010000}"/>
    <cellStyle name="Normal 8" xfId="397" xr:uid="{00000000-0005-0000-0000-0000BA010000}"/>
    <cellStyle name="Normal 9" xfId="398" xr:uid="{00000000-0005-0000-0000-0000BB010000}"/>
    <cellStyle name="Percent" xfId="2" builtinId="5"/>
    <cellStyle name="Percent 10" xfId="399" xr:uid="{00000000-0005-0000-0000-0000BC010000}"/>
    <cellStyle name="Percent 11" xfId="400" xr:uid="{00000000-0005-0000-0000-0000BD010000}"/>
    <cellStyle name="Percent 12" xfId="401" xr:uid="{00000000-0005-0000-0000-0000BE010000}"/>
    <cellStyle name="Percent 13" xfId="402" xr:uid="{00000000-0005-0000-0000-0000BF010000}"/>
    <cellStyle name="Percent 14" xfId="403" xr:uid="{00000000-0005-0000-0000-0000C0010000}"/>
    <cellStyle name="Percent 15" xfId="404" xr:uid="{00000000-0005-0000-0000-0000C1010000}"/>
    <cellStyle name="Percent 16" xfId="405" xr:uid="{00000000-0005-0000-0000-0000C2010000}"/>
    <cellStyle name="Percent 17" xfId="406" xr:uid="{00000000-0005-0000-0000-0000C3010000}"/>
    <cellStyle name="Percent 18" xfId="407" xr:uid="{00000000-0005-0000-0000-0000C4010000}"/>
    <cellStyle name="Percent 19" xfId="408" xr:uid="{00000000-0005-0000-0000-0000C5010000}"/>
    <cellStyle name="Percent 2" xfId="409" xr:uid="{00000000-0005-0000-0000-0000C6010000}"/>
    <cellStyle name="Percent 20" xfId="410" xr:uid="{00000000-0005-0000-0000-0000C7010000}"/>
    <cellStyle name="Percent 21" xfId="411" xr:uid="{00000000-0005-0000-0000-0000C8010000}"/>
    <cellStyle name="Percent 3" xfId="412" xr:uid="{00000000-0005-0000-0000-0000C9010000}"/>
    <cellStyle name="Percent 3 2" xfId="413" xr:uid="{00000000-0005-0000-0000-0000CA010000}"/>
    <cellStyle name="Percent 3 3" xfId="414" xr:uid="{00000000-0005-0000-0000-0000CB010000}"/>
    <cellStyle name="Percent 3 7" xfId="415" xr:uid="{00000000-0005-0000-0000-0000CC010000}"/>
    <cellStyle name="Percent 4" xfId="416" xr:uid="{00000000-0005-0000-0000-0000CD010000}"/>
    <cellStyle name="Percent 5" xfId="417" xr:uid="{00000000-0005-0000-0000-0000CE010000}"/>
    <cellStyle name="Percent 6" xfId="418" xr:uid="{00000000-0005-0000-0000-0000CF010000}"/>
    <cellStyle name="Percent 7" xfId="419" xr:uid="{00000000-0005-0000-0000-0000D0010000}"/>
    <cellStyle name="Percent 8" xfId="420" xr:uid="{00000000-0005-0000-0000-0000D1010000}"/>
    <cellStyle name="Percent 9" xfId="421" xr:uid="{00000000-0005-0000-0000-0000D2010000}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AppData\Local\Kingsoft\WPS%20Office\12.2.0.23131\office6\Book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PLU%20AKTIF%20SPI%20MLG%202M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ITEM%20AKTIF%20SPI%20DUMA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3">
          <cell r="A3">
            <v>1666510</v>
          </cell>
        </row>
        <row r="4">
          <cell r="A4">
            <v>60410</v>
          </cell>
        </row>
        <row r="5">
          <cell r="A5">
            <v>431090</v>
          </cell>
        </row>
        <row r="6">
          <cell r="A6">
            <v>1438350</v>
          </cell>
        </row>
        <row r="7">
          <cell r="A7">
            <v>54580</v>
          </cell>
        </row>
        <row r="8">
          <cell r="A8">
            <v>1619960</v>
          </cell>
        </row>
        <row r="9">
          <cell r="A9">
            <v>27940</v>
          </cell>
        </row>
        <row r="10">
          <cell r="A10">
            <v>1173530</v>
          </cell>
        </row>
        <row r="11">
          <cell r="A11">
            <v>1273740</v>
          </cell>
        </row>
        <row r="12">
          <cell r="A12">
            <v>357330</v>
          </cell>
        </row>
        <row r="13">
          <cell r="A13">
            <v>721410</v>
          </cell>
        </row>
        <row r="14">
          <cell r="A14">
            <v>1686840</v>
          </cell>
        </row>
        <row r="15">
          <cell r="A15">
            <v>1825290</v>
          </cell>
        </row>
        <row r="16">
          <cell r="A16">
            <v>1941490</v>
          </cell>
        </row>
        <row r="17">
          <cell r="A17">
            <v>1623700</v>
          </cell>
        </row>
        <row r="18">
          <cell r="A18">
            <v>357260</v>
          </cell>
        </row>
        <row r="19">
          <cell r="A19">
            <v>1668970</v>
          </cell>
        </row>
        <row r="20">
          <cell r="A20">
            <v>1530160</v>
          </cell>
        </row>
        <row r="21">
          <cell r="A21">
            <v>1482480</v>
          </cell>
        </row>
        <row r="22">
          <cell r="A22">
            <v>1579020</v>
          </cell>
        </row>
        <row r="23">
          <cell r="A23">
            <v>473070</v>
          </cell>
        </row>
        <row r="24">
          <cell r="A24">
            <v>1714220</v>
          </cell>
        </row>
        <row r="25">
          <cell r="A25">
            <v>357210</v>
          </cell>
        </row>
        <row r="26">
          <cell r="A26">
            <v>1268980</v>
          </cell>
        </row>
        <row r="27">
          <cell r="A27">
            <v>1940670</v>
          </cell>
        </row>
        <row r="28">
          <cell r="A28">
            <v>1530170</v>
          </cell>
        </row>
        <row r="29">
          <cell r="A29">
            <v>357190</v>
          </cell>
        </row>
        <row r="30">
          <cell r="A30">
            <v>1312540</v>
          </cell>
        </row>
        <row r="31">
          <cell r="A31">
            <v>1014050</v>
          </cell>
        </row>
        <row r="32">
          <cell r="A32">
            <v>1334380</v>
          </cell>
        </row>
        <row r="33">
          <cell r="A33">
            <v>3770</v>
          </cell>
        </row>
        <row r="34">
          <cell r="A34">
            <v>1991330</v>
          </cell>
        </row>
        <row r="35">
          <cell r="A35">
            <v>1557710</v>
          </cell>
        </row>
        <row r="36">
          <cell r="A36">
            <v>1671570</v>
          </cell>
        </row>
        <row r="37">
          <cell r="A37">
            <v>1509980</v>
          </cell>
        </row>
        <row r="38">
          <cell r="A38">
            <v>1393800</v>
          </cell>
        </row>
        <row r="39">
          <cell r="A39">
            <v>721440</v>
          </cell>
        </row>
        <row r="40">
          <cell r="A40">
            <v>451980</v>
          </cell>
        </row>
        <row r="41">
          <cell r="A41">
            <v>13500</v>
          </cell>
        </row>
        <row r="42">
          <cell r="A42">
            <v>121490</v>
          </cell>
        </row>
        <row r="43">
          <cell r="A43">
            <v>453500</v>
          </cell>
        </row>
        <row r="44">
          <cell r="A44">
            <v>36630</v>
          </cell>
        </row>
        <row r="45">
          <cell r="A45">
            <v>1466610</v>
          </cell>
        </row>
        <row r="46">
          <cell r="A46">
            <v>1665690</v>
          </cell>
        </row>
        <row r="47">
          <cell r="A47">
            <v>357240</v>
          </cell>
        </row>
        <row r="48">
          <cell r="A48">
            <v>1119560</v>
          </cell>
        </row>
        <row r="49">
          <cell r="A49">
            <v>1252630</v>
          </cell>
        </row>
        <row r="50">
          <cell r="A50">
            <v>1451790</v>
          </cell>
        </row>
        <row r="51">
          <cell r="A51">
            <v>3760</v>
          </cell>
        </row>
        <row r="52">
          <cell r="A52">
            <v>1664400</v>
          </cell>
        </row>
        <row r="53">
          <cell r="A53">
            <v>1333440</v>
          </cell>
        </row>
        <row r="54">
          <cell r="A54">
            <v>721420</v>
          </cell>
        </row>
        <row r="55">
          <cell r="A55">
            <v>431360</v>
          </cell>
        </row>
        <row r="56">
          <cell r="A56">
            <v>1840260</v>
          </cell>
        </row>
        <row r="57">
          <cell r="A57">
            <v>1312740</v>
          </cell>
        </row>
        <row r="58">
          <cell r="A58">
            <v>1461130</v>
          </cell>
        </row>
        <row r="59">
          <cell r="A59">
            <v>1138210</v>
          </cell>
        </row>
        <row r="60">
          <cell r="A60">
            <v>1515190</v>
          </cell>
        </row>
        <row r="61">
          <cell r="A61">
            <v>1333770</v>
          </cell>
        </row>
        <row r="62">
          <cell r="A62">
            <v>1297980</v>
          </cell>
        </row>
        <row r="63">
          <cell r="A63">
            <v>345860</v>
          </cell>
        </row>
        <row r="64">
          <cell r="A64">
            <v>1612140</v>
          </cell>
        </row>
        <row r="65">
          <cell r="A65">
            <v>454160</v>
          </cell>
        </row>
        <row r="66">
          <cell r="A66">
            <v>714180</v>
          </cell>
        </row>
        <row r="67">
          <cell r="A67">
            <v>451990</v>
          </cell>
        </row>
        <row r="68">
          <cell r="A68">
            <v>1251640</v>
          </cell>
        </row>
        <row r="69">
          <cell r="A69">
            <v>12700</v>
          </cell>
        </row>
        <row r="70">
          <cell r="A70">
            <v>10160</v>
          </cell>
        </row>
        <row r="71">
          <cell r="A71">
            <v>1563240</v>
          </cell>
        </row>
        <row r="72">
          <cell r="A72">
            <v>357180</v>
          </cell>
        </row>
        <row r="73">
          <cell r="A73">
            <v>1704470</v>
          </cell>
        </row>
        <row r="74">
          <cell r="A74">
            <v>346280</v>
          </cell>
        </row>
        <row r="75">
          <cell r="A75">
            <v>1208840</v>
          </cell>
        </row>
        <row r="76">
          <cell r="A76">
            <v>1515180</v>
          </cell>
        </row>
        <row r="77">
          <cell r="A77">
            <v>12690</v>
          </cell>
        </row>
        <row r="78">
          <cell r="A78">
            <v>1148380</v>
          </cell>
        </row>
        <row r="79">
          <cell r="A79">
            <v>1028340</v>
          </cell>
        </row>
        <row r="80">
          <cell r="A80">
            <v>1563230</v>
          </cell>
        </row>
        <row r="81">
          <cell r="A81">
            <v>1257590</v>
          </cell>
        </row>
        <row r="82">
          <cell r="A82">
            <v>1472290</v>
          </cell>
        </row>
        <row r="83">
          <cell r="A83">
            <v>1524590</v>
          </cell>
        </row>
        <row r="84">
          <cell r="A84">
            <v>1626070</v>
          </cell>
        </row>
        <row r="85">
          <cell r="A85">
            <v>1619970</v>
          </cell>
        </row>
        <row r="86">
          <cell r="A86">
            <v>1396820</v>
          </cell>
        </row>
        <row r="87">
          <cell r="A87">
            <v>396530</v>
          </cell>
        </row>
        <row r="88">
          <cell r="A88">
            <v>1298440</v>
          </cell>
        </row>
        <row r="89">
          <cell r="A89">
            <v>1040530</v>
          </cell>
        </row>
        <row r="90">
          <cell r="A90">
            <v>1444260</v>
          </cell>
        </row>
        <row r="91">
          <cell r="A91">
            <v>35870</v>
          </cell>
        </row>
        <row r="92">
          <cell r="A92">
            <v>37140</v>
          </cell>
        </row>
        <row r="93">
          <cell r="A93">
            <v>7770</v>
          </cell>
        </row>
        <row r="94">
          <cell r="A94">
            <v>1603570</v>
          </cell>
        </row>
        <row r="95">
          <cell r="A95">
            <v>1521280</v>
          </cell>
        </row>
        <row r="96">
          <cell r="A96">
            <v>16410</v>
          </cell>
        </row>
        <row r="97">
          <cell r="A97">
            <v>813310</v>
          </cell>
        </row>
        <row r="98">
          <cell r="A98">
            <v>453680</v>
          </cell>
        </row>
        <row r="99">
          <cell r="A99">
            <v>1424390</v>
          </cell>
        </row>
        <row r="100">
          <cell r="A100">
            <v>452000</v>
          </cell>
        </row>
        <row r="101">
          <cell r="A101">
            <v>365220</v>
          </cell>
        </row>
        <row r="102">
          <cell r="A102">
            <v>54980</v>
          </cell>
        </row>
        <row r="103">
          <cell r="A103">
            <v>1703800</v>
          </cell>
        </row>
        <row r="104">
          <cell r="A104">
            <v>1405690</v>
          </cell>
        </row>
        <row r="105">
          <cell r="A105">
            <v>1487320</v>
          </cell>
        </row>
        <row r="106">
          <cell r="A106">
            <v>1451810</v>
          </cell>
        </row>
        <row r="107">
          <cell r="A107">
            <v>391920</v>
          </cell>
        </row>
        <row r="108">
          <cell r="A108">
            <v>424600</v>
          </cell>
        </row>
        <row r="109">
          <cell r="A109">
            <v>1653340</v>
          </cell>
        </row>
        <row r="110">
          <cell r="A110">
            <v>1388500</v>
          </cell>
        </row>
        <row r="111">
          <cell r="A111">
            <v>453510</v>
          </cell>
        </row>
        <row r="112">
          <cell r="A112">
            <v>1501130</v>
          </cell>
        </row>
        <row r="113">
          <cell r="A113">
            <v>357410</v>
          </cell>
        </row>
        <row r="114">
          <cell r="A114">
            <v>16400</v>
          </cell>
        </row>
        <row r="115">
          <cell r="A115">
            <v>815000</v>
          </cell>
        </row>
        <row r="116">
          <cell r="A116">
            <v>1419070</v>
          </cell>
        </row>
        <row r="117">
          <cell r="A117">
            <v>1451800</v>
          </cell>
        </row>
        <row r="118">
          <cell r="A118">
            <v>1272040</v>
          </cell>
        </row>
        <row r="119">
          <cell r="A119">
            <v>1470330</v>
          </cell>
        </row>
        <row r="120">
          <cell r="A120">
            <v>1121120</v>
          </cell>
        </row>
        <row r="121">
          <cell r="A121">
            <v>1563260</v>
          </cell>
        </row>
        <row r="122">
          <cell r="A122">
            <v>424590</v>
          </cell>
        </row>
        <row r="123">
          <cell r="A123">
            <v>1605040</v>
          </cell>
        </row>
        <row r="124">
          <cell r="A124">
            <v>357320</v>
          </cell>
        </row>
        <row r="125">
          <cell r="A125">
            <v>1704160</v>
          </cell>
        </row>
        <row r="126">
          <cell r="A126">
            <v>1070980</v>
          </cell>
        </row>
        <row r="127">
          <cell r="A127">
            <v>1479180</v>
          </cell>
        </row>
        <row r="128">
          <cell r="A128">
            <v>1682780</v>
          </cell>
        </row>
        <row r="129">
          <cell r="A129">
            <v>1353750</v>
          </cell>
        </row>
        <row r="130">
          <cell r="A130">
            <v>11550</v>
          </cell>
        </row>
        <row r="131">
          <cell r="A131">
            <v>1257810</v>
          </cell>
        </row>
        <row r="132">
          <cell r="A132">
            <v>1441730</v>
          </cell>
        </row>
        <row r="133">
          <cell r="A133">
            <v>1040610</v>
          </cell>
        </row>
        <row r="134">
          <cell r="A134">
            <v>1392350</v>
          </cell>
        </row>
        <row r="135">
          <cell r="A135">
            <v>1275530</v>
          </cell>
        </row>
        <row r="136">
          <cell r="A136">
            <v>1574290</v>
          </cell>
        </row>
        <row r="137">
          <cell r="A137">
            <v>1364500</v>
          </cell>
        </row>
        <row r="138">
          <cell r="A138">
            <v>1346410</v>
          </cell>
        </row>
        <row r="139">
          <cell r="A139">
            <v>861050</v>
          </cell>
        </row>
        <row r="140">
          <cell r="A140">
            <v>357230</v>
          </cell>
        </row>
        <row r="141">
          <cell r="A141">
            <v>1637310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A2">
            <v>1166390</v>
          </cell>
        </row>
        <row r="3">
          <cell r="A3">
            <v>359470</v>
          </cell>
        </row>
        <row r="4">
          <cell r="A4">
            <v>1557610</v>
          </cell>
        </row>
        <row r="5">
          <cell r="A5">
            <v>1557640</v>
          </cell>
        </row>
        <row r="6">
          <cell r="A6">
            <v>1557620</v>
          </cell>
        </row>
        <row r="7">
          <cell r="A7">
            <v>1470060</v>
          </cell>
        </row>
        <row r="8">
          <cell r="A8">
            <v>1280190</v>
          </cell>
        </row>
        <row r="9">
          <cell r="A9">
            <v>345860</v>
          </cell>
        </row>
        <row r="10">
          <cell r="A10">
            <v>7780</v>
          </cell>
        </row>
        <row r="11">
          <cell r="A11">
            <v>7770</v>
          </cell>
        </row>
        <row r="12">
          <cell r="A12">
            <v>1825290</v>
          </cell>
        </row>
        <row r="13">
          <cell r="A13">
            <v>1436870</v>
          </cell>
        </row>
        <row r="14">
          <cell r="A14">
            <v>1336850</v>
          </cell>
        </row>
        <row r="15">
          <cell r="A15">
            <v>1228720</v>
          </cell>
        </row>
        <row r="16">
          <cell r="A16">
            <v>1579020</v>
          </cell>
        </row>
        <row r="17">
          <cell r="A17">
            <v>1664330</v>
          </cell>
        </row>
        <row r="18">
          <cell r="A18">
            <v>1273740</v>
          </cell>
        </row>
        <row r="19">
          <cell r="A19">
            <v>1619960</v>
          </cell>
        </row>
        <row r="20">
          <cell r="A20">
            <v>1991330</v>
          </cell>
        </row>
        <row r="21">
          <cell r="A21">
            <v>861050</v>
          </cell>
        </row>
        <row r="22">
          <cell r="A22">
            <v>431090</v>
          </cell>
        </row>
        <row r="23">
          <cell r="A23">
            <v>1310960</v>
          </cell>
        </row>
        <row r="24">
          <cell r="A24">
            <v>1666510</v>
          </cell>
        </row>
        <row r="25">
          <cell r="A25">
            <v>1396820</v>
          </cell>
        </row>
        <row r="26">
          <cell r="A26">
            <v>1623700</v>
          </cell>
        </row>
        <row r="27">
          <cell r="A27">
            <v>1420840</v>
          </cell>
        </row>
        <row r="28">
          <cell r="A28">
            <v>1690750</v>
          </cell>
        </row>
        <row r="29">
          <cell r="A29">
            <v>1674640</v>
          </cell>
        </row>
        <row r="30">
          <cell r="A30">
            <v>1674630</v>
          </cell>
        </row>
        <row r="31">
          <cell r="A31">
            <v>1424390</v>
          </cell>
        </row>
        <row r="32">
          <cell r="A32">
            <v>1674610</v>
          </cell>
        </row>
        <row r="33">
          <cell r="A33">
            <v>350030</v>
          </cell>
        </row>
        <row r="34">
          <cell r="A34">
            <v>232430</v>
          </cell>
        </row>
        <row r="35">
          <cell r="A35">
            <v>1527550</v>
          </cell>
        </row>
        <row r="36">
          <cell r="A36">
            <v>795700</v>
          </cell>
        </row>
        <row r="37">
          <cell r="A37">
            <v>1652560</v>
          </cell>
        </row>
        <row r="38">
          <cell r="A38">
            <v>1268970</v>
          </cell>
        </row>
        <row r="39">
          <cell r="A39">
            <v>1268980</v>
          </cell>
        </row>
        <row r="40">
          <cell r="A40">
            <v>2050</v>
          </cell>
        </row>
        <row r="41">
          <cell r="A41">
            <v>431360</v>
          </cell>
        </row>
        <row r="42">
          <cell r="A42">
            <v>400</v>
          </cell>
        </row>
        <row r="43">
          <cell r="A43">
            <v>1117080</v>
          </cell>
        </row>
        <row r="44">
          <cell r="A44">
            <v>390</v>
          </cell>
        </row>
        <row r="45">
          <cell r="A45">
            <v>1121120</v>
          </cell>
        </row>
        <row r="46">
          <cell r="A46">
            <v>1298440</v>
          </cell>
        </row>
        <row r="47">
          <cell r="A47">
            <v>1040610</v>
          </cell>
        </row>
        <row r="48">
          <cell r="A48">
            <v>1040530</v>
          </cell>
        </row>
        <row r="49">
          <cell r="A49">
            <v>391920</v>
          </cell>
        </row>
        <row r="50">
          <cell r="A50">
            <v>1643910</v>
          </cell>
        </row>
        <row r="51">
          <cell r="A51">
            <v>1524590</v>
          </cell>
        </row>
        <row r="52">
          <cell r="A52">
            <v>1642530</v>
          </cell>
        </row>
        <row r="53">
          <cell r="A53">
            <v>1642560</v>
          </cell>
        </row>
        <row r="54">
          <cell r="A54">
            <v>121490</v>
          </cell>
        </row>
        <row r="55">
          <cell r="A55">
            <v>813310</v>
          </cell>
        </row>
        <row r="56">
          <cell r="A56">
            <v>121480</v>
          </cell>
        </row>
        <row r="57">
          <cell r="A57">
            <v>1268180</v>
          </cell>
        </row>
        <row r="58">
          <cell r="A58">
            <v>1238440</v>
          </cell>
        </row>
        <row r="59">
          <cell r="A59">
            <v>1703090</v>
          </cell>
        </row>
        <row r="60">
          <cell r="A60">
            <v>453500</v>
          </cell>
        </row>
        <row r="61">
          <cell r="A61">
            <v>36830</v>
          </cell>
        </row>
        <row r="62">
          <cell r="A62">
            <v>451980</v>
          </cell>
        </row>
        <row r="63">
          <cell r="A63">
            <v>451990</v>
          </cell>
        </row>
        <row r="64">
          <cell r="A64">
            <v>37650</v>
          </cell>
        </row>
        <row r="65">
          <cell r="A65">
            <v>452000</v>
          </cell>
        </row>
        <row r="66">
          <cell r="A66">
            <v>36870</v>
          </cell>
        </row>
        <row r="67">
          <cell r="A67">
            <v>453510</v>
          </cell>
        </row>
        <row r="68">
          <cell r="A68">
            <v>66530</v>
          </cell>
        </row>
        <row r="69">
          <cell r="A69">
            <v>1260250</v>
          </cell>
        </row>
        <row r="70">
          <cell r="A70">
            <v>70330</v>
          </cell>
        </row>
        <row r="71">
          <cell r="A71">
            <v>2169180</v>
          </cell>
        </row>
        <row r="72">
          <cell r="A72">
            <v>2019480</v>
          </cell>
        </row>
        <row r="73">
          <cell r="A73">
            <v>2019840</v>
          </cell>
        </row>
        <row r="74">
          <cell r="A74">
            <v>345980</v>
          </cell>
        </row>
        <row r="75">
          <cell r="A75">
            <v>1668970</v>
          </cell>
        </row>
        <row r="76">
          <cell r="A76">
            <v>122090</v>
          </cell>
        </row>
        <row r="77">
          <cell r="A77">
            <v>1461130</v>
          </cell>
        </row>
        <row r="78">
          <cell r="A78">
            <v>1633930</v>
          </cell>
        </row>
        <row r="79">
          <cell r="A79">
            <v>1119560</v>
          </cell>
        </row>
        <row r="80">
          <cell r="A80">
            <v>454160</v>
          </cell>
        </row>
        <row r="81">
          <cell r="A81">
            <v>12690</v>
          </cell>
        </row>
        <row r="82">
          <cell r="A82">
            <v>436250</v>
          </cell>
        </row>
        <row r="83">
          <cell r="A83">
            <v>12700</v>
          </cell>
        </row>
        <row r="84">
          <cell r="A84">
            <v>113620</v>
          </cell>
        </row>
        <row r="85">
          <cell r="A85">
            <v>1703010</v>
          </cell>
        </row>
        <row r="86">
          <cell r="A86">
            <v>1505000</v>
          </cell>
        </row>
        <row r="87">
          <cell r="A87">
            <v>1592030</v>
          </cell>
        </row>
        <row r="88">
          <cell r="A88">
            <v>1062740</v>
          </cell>
        </row>
        <row r="89">
          <cell r="A89">
            <v>1226320</v>
          </cell>
        </row>
        <row r="90">
          <cell r="A90">
            <v>1062730</v>
          </cell>
        </row>
        <row r="91">
          <cell r="A91">
            <v>1689910</v>
          </cell>
        </row>
        <row r="92">
          <cell r="A92">
            <v>1062720</v>
          </cell>
        </row>
        <row r="93">
          <cell r="A93">
            <v>1492840</v>
          </cell>
        </row>
        <row r="94">
          <cell r="A94">
            <v>1312740</v>
          </cell>
        </row>
        <row r="95">
          <cell r="A95">
            <v>1304610</v>
          </cell>
        </row>
        <row r="96">
          <cell r="A96">
            <v>1557710</v>
          </cell>
        </row>
        <row r="97">
          <cell r="A97">
            <v>54980</v>
          </cell>
        </row>
        <row r="98">
          <cell r="A98">
            <v>1301510</v>
          </cell>
        </row>
        <row r="99">
          <cell r="A99">
            <v>1592040</v>
          </cell>
        </row>
        <row r="100">
          <cell r="A100">
            <v>1301530</v>
          </cell>
        </row>
        <row r="101">
          <cell r="A101">
            <v>1840260</v>
          </cell>
        </row>
        <row r="102">
          <cell r="A102">
            <v>1269830</v>
          </cell>
        </row>
        <row r="103">
          <cell r="A103">
            <v>1301520</v>
          </cell>
        </row>
        <row r="104">
          <cell r="A104">
            <v>1818470</v>
          </cell>
        </row>
        <row r="105">
          <cell r="A105">
            <v>1818500</v>
          </cell>
        </row>
        <row r="106">
          <cell r="A106">
            <v>1115930</v>
          </cell>
        </row>
        <row r="107">
          <cell r="A107">
            <v>1072800</v>
          </cell>
        </row>
        <row r="108">
          <cell r="A108">
            <v>1070980</v>
          </cell>
        </row>
        <row r="109">
          <cell r="A109">
            <v>1142400</v>
          </cell>
        </row>
        <row r="110">
          <cell r="A110">
            <v>1417040</v>
          </cell>
        </row>
        <row r="111">
          <cell r="A111">
            <v>1562550</v>
          </cell>
        </row>
        <row r="112">
          <cell r="A112">
            <v>1416940</v>
          </cell>
        </row>
        <row r="113">
          <cell r="A113">
            <v>1417110</v>
          </cell>
        </row>
        <row r="114">
          <cell r="A114">
            <v>1416960</v>
          </cell>
        </row>
        <row r="115">
          <cell r="A115">
            <v>1470350</v>
          </cell>
        </row>
        <row r="116">
          <cell r="A116">
            <v>1470330</v>
          </cell>
        </row>
        <row r="117">
          <cell r="A117">
            <v>1470290</v>
          </cell>
        </row>
        <row r="118">
          <cell r="A118">
            <v>1335430</v>
          </cell>
        </row>
        <row r="119">
          <cell r="A119">
            <v>1470340</v>
          </cell>
        </row>
        <row r="120">
          <cell r="A120">
            <v>1470320</v>
          </cell>
        </row>
        <row r="121">
          <cell r="A121">
            <v>254340</v>
          </cell>
        </row>
        <row r="122">
          <cell r="A122">
            <v>1290280</v>
          </cell>
        </row>
        <row r="123">
          <cell r="A123">
            <v>1290270</v>
          </cell>
        </row>
        <row r="124">
          <cell r="A124">
            <v>1558220</v>
          </cell>
        </row>
        <row r="125">
          <cell r="A125">
            <v>1558230</v>
          </cell>
        </row>
        <row r="126">
          <cell r="A126">
            <v>1558180</v>
          </cell>
        </row>
        <row r="127">
          <cell r="A127">
            <v>1558260</v>
          </cell>
        </row>
        <row r="128">
          <cell r="A128">
            <v>1558270</v>
          </cell>
        </row>
        <row r="129">
          <cell r="A129">
            <v>1710510</v>
          </cell>
        </row>
        <row r="130">
          <cell r="A130">
            <v>1710520</v>
          </cell>
        </row>
        <row r="131">
          <cell r="A131">
            <v>1623830</v>
          </cell>
        </row>
        <row r="132">
          <cell r="A132">
            <v>1623820</v>
          </cell>
        </row>
        <row r="133">
          <cell r="A133">
            <v>1241130</v>
          </cell>
        </row>
        <row r="134">
          <cell r="A134">
            <v>1105650</v>
          </cell>
        </row>
        <row r="135">
          <cell r="A135">
            <v>1666750</v>
          </cell>
        </row>
        <row r="136">
          <cell r="A136">
            <v>1665580</v>
          </cell>
        </row>
        <row r="137">
          <cell r="A137">
            <v>1482850</v>
          </cell>
        </row>
        <row r="138">
          <cell r="A138">
            <v>1171720</v>
          </cell>
        </row>
        <row r="139">
          <cell r="A139">
            <v>1456810</v>
          </cell>
        </row>
        <row r="140">
          <cell r="A140">
            <v>1456820</v>
          </cell>
        </row>
        <row r="141">
          <cell r="A141">
            <v>1614620</v>
          </cell>
        </row>
        <row r="142">
          <cell r="A142">
            <v>1612140</v>
          </cell>
        </row>
        <row r="143">
          <cell r="A143">
            <v>1414460</v>
          </cell>
        </row>
        <row r="144">
          <cell r="A144">
            <v>1667280</v>
          </cell>
        </row>
        <row r="145">
          <cell r="A145">
            <v>1515190</v>
          </cell>
        </row>
        <row r="146">
          <cell r="A146">
            <v>1515180</v>
          </cell>
        </row>
        <row r="147">
          <cell r="A147">
            <v>1405690</v>
          </cell>
        </row>
        <row r="148">
          <cell r="A148">
            <v>1251640</v>
          </cell>
        </row>
        <row r="149">
          <cell r="A149">
            <v>16410</v>
          </cell>
        </row>
        <row r="150">
          <cell r="A150">
            <v>16400</v>
          </cell>
        </row>
        <row r="151">
          <cell r="A151">
            <v>308920</v>
          </cell>
        </row>
        <row r="152">
          <cell r="A152">
            <v>1148380</v>
          </cell>
        </row>
        <row r="153">
          <cell r="A153">
            <v>1173530</v>
          </cell>
        </row>
        <row r="154">
          <cell r="A154">
            <v>3700</v>
          </cell>
        </row>
        <row r="155">
          <cell r="A155">
            <v>384280</v>
          </cell>
        </row>
        <row r="156">
          <cell r="A156">
            <v>346280</v>
          </cell>
        </row>
        <row r="157">
          <cell r="A157">
            <v>277530</v>
          </cell>
        </row>
        <row r="158">
          <cell r="A158">
            <v>1304180</v>
          </cell>
        </row>
        <row r="159">
          <cell r="A159">
            <v>1634840</v>
          </cell>
        </row>
        <row r="160">
          <cell r="A160">
            <v>1594100</v>
          </cell>
        </row>
        <row r="161">
          <cell r="A161">
            <v>1438350</v>
          </cell>
        </row>
        <row r="162">
          <cell r="A162">
            <v>1208840</v>
          </cell>
        </row>
        <row r="163">
          <cell r="A163">
            <v>365220</v>
          </cell>
        </row>
        <row r="164">
          <cell r="A164">
            <v>1367690</v>
          </cell>
        </row>
        <row r="165">
          <cell r="A165">
            <v>1941490</v>
          </cell>
        </row>
        <row r="166">
          <cell r="A166">
            <v>115940</v>
          </cell>
        </row>
        <row r="167">
          <cell r="A167">
            <v>1014580</v>
          </cell>
        </row>
        <row r="168">
          <cell r="A168">
            <v>13500</v>
          </cell>
        </row>
        <row r="169">
          <cell r="A169">
            <v>454850</v>
          </cell>
        </row>
        <row r="170">
          <cell r="A170">
            <v>1713260</v>
          </cell>
        </row>
        <row r="171">
          <cell r="A171">
            <v>1348130</v>
          </cell>
        </row>
        <row r="172">
          <cell r="A172">
            <v>1298240</v>
          </cell>
        </row>
        <row r="173">
          <cell r="A173">
            <v>1530160</v>
          </cell>
        </row>
        <row r="174">
          <cell r="A174">
            <v>1530170</v>
          </cell>
        </row>
        <row r="175">
          <cell r="A175">
            <v>1313480</v>
          </cell>
        </row>
        <row r="176">
          <cell r="A176">
            <v>1561140</v>
          </cell>
        </row>
        <row r="177">
          <cell r="A177">
            <v>1304260</v>
          </cell>
        </row>
        <row r="178">
          <cell r="A178">
            <v>1426560</v>
          </cell>
        </row>
        <row r="179">
          <cell r="A179">
            <v>277090</v>
          </cell>
        </row>
        <row r="180">
          <cell r="A180">
            <v>1498690</v>
          </cell>
        </row>
        <row r="181">
          <cell r="A181">
            <v>1482690</v>
          </cell>
        </row>
        <row r="182">
          <cell r="A182">
            <v>1482700</v>
          </cell>
        </row>
        <row r="183">
          <cell r="A183">
            <v>1230</v>
          </cell>
        </row>
        <row r="184">
          <cell r="A184">
            <v>1014050</v>
          </cell>
        </row>
        <row r="185">
          <cell r="A185">
            <v>1840000</v>
          </cell>
        </row>
        <row r="186">
          <cell r="A186">
            <v>1166370</v>
          </cell>
        </row>
        <row r="187">
          <cell r="A187">
            <v>1612540</v>
          </cell>
        </row>
        <row r="188">
          <cell r="A188">
            <v>1166380</v>
          </cell>
        </row>
        <row r="189">
          <cell r="A189">
            <v>1166360</v>
          </cell>
        </row>
        <row r="190">
          <cell r="A190">
            <v>1394550</v>
          </cell>
        </row>
        <row r="191">
          <cell r="A191">
            <v>1193640</v>
          </cell>
        </row>
        <row r="192">
          <cell r="A192">
            <v>1193650</v>
          </cell>
        </row>
        <row r="193">
          <cell r="A193">
            <v>1534250</v>
          </cell>
        </row>
        <row r="194">
          <cell r="A194">
            <v>1667600</v>
          </cell>
        </row>
        <row r="195">
          <cell r="A195">
            <v>1690110</v>
          </cell>
        </row>
        <row r="196">
          <cell r="A196">
            <v>1500990</v>
          </cell>
        </row>
        <row r="197">
          <cell r="A197">
            <v>1501310</v>
          </cell>
        </row>
        <row r="198">
          <cell r="A198">
            <v>1686630</v>
          </cell>
        </row>
        <row r="199">
          <cell r="A199">
            <v>1516000</v>
          </cell>
        </row>
        <row r="200">
          <cell r="A200">
            <v>1714220</v>
          </cell>
        </row>
        <row r="201">
          <cell r="A201">
            <v>1530700</v>
          </cell>
        </row>
        <row r="202">
          <cell r="A202">
            <v>1461660</v>
          </cell>
        </row>
        <row r="203">
          <cell r="A203">
            <v>1825300</v>
          </cell>
        </row>
        <row r="204">
          <cell r="A204">
            <v>1112170</v>
          </cell>
        </row>
        <row r="205">
          <cell r="A205">
            <v>1320590</v>
          </cell>
        </row>
        <row r="206">
          <cell r="A206">
            <v>604670</v>
          </cell>
        </row>
        <row r="207">
          <cell r="A207">
            <v>1511950</v>
          </cell>
        </row>
        <row r="208">
          <cell r="A208">
            <v>1634880</v>
          </cell>
        </row>
        <row r="209">
          <cell r="A209">
            <v>1605250</v>
          </cell>
        </row>
        <row r="210">
          <cell r="A210">
            <v>345050</v>
          </cell>
        </row>
        <row r="211">
          <cell r="A211">
            <v>4400</v>
          </cell>
        </row>
        <row r="212">
          <cell r="A212">
            <v>1391820</v>
          </cell>
        </row>
        <row r="213">
          <cell r="A213">
            <v>1075250</v>
          </cell>
        </row>
        <row r="214">
          <cell r="A214">
            <v>59410</v>
          </cell>
        </row>
        <row r="215">
          <cell r="A215">
            <v>59390</v>
          </cell>
        </row>
        <row r="216">
          <cell r="A216">
            <v>1401870</v>
          </cell>
        </row>
        <row r="217">
          <cell r="A217">
            <v>1345330</v>
          </cell>
        </row>
        <row r="218">
          <cell r="A218">
            <v>1312540</v>
          </cell>
        </row>
        <row r="219">
          <cell r="A219">
            <v>1472290</v>
          </cell>
        </row>
        <row r="220">
          <cell r="A220">
            <v>1156880</v>
          </cell>
        </row>
        <row r="221">
          <cell r="A221">
            <v>1065680</v>
          </cell>
        </row>
        <row r="222">
          <cell r="A222">
            <v>60410</v>
          </cell>
        </row>
        <row r="223">
          <cell r="A223">
            <v>1252630</v>
          </cell>
        </row>
        <row r="224">
          <cell r="A224">
            <v>27940</v>
          </cell>
        </row>
        <row r="225">
          <cell r="A225">
            <v>3770</v>
          </cell>
        </row>
        <row r="226">
          <cell r="A226">
            <v>1347140</v>
          </cell>
        </row>
        <row r="227">
          <cell r="A227">
            <v>54580</v>
          </cell>
        </row>
        <row r="228">
          <cell r="A228">
            <v>1054950</v>
          </cell>
        </row>
        <row r="229">
          <cell r="A229">
            <v>1162750</v>
          </cell>
        </row>
        <row r="230">
          <cell r="A230">
            <v>1755740</v>
          </cell>
        </row>
        <row r="231">
          <cell r="A231">
            <v>328170</v>
          </cell>
        </row>
        <row r="232">
          <cell r="A232">
            <v>1179330</v>
          </cell>
        </row>
        <row r="233">
          <cell r="A233">
            <v>1229900</v>
          </cell>
        </row>
        <row r="234">
          <cell r="A234">
            <v>1479710</v>
          </cell>
        </row>
        <row r="235">
          <cell r="A235">
            <v>1479110</v>
          </cell>
        </row>
        <row r="236">
          <cell r="A236">
            <v>1592640</v>
          </cell>
        </row>
        <row r="237">
          <cell r="A237">
            <v>721420</v>
          </cell>
        </row>
        <row r="238">
          <cell r="A238">
            <v>1490270</v>
          </cell>
        </row>
        <row r="239">
          <cell r="A239">
            <v>721410</v>
          </cell>
        </row>
        <row r="240">
          <cell r="A240">
            <v>1177370</v>
          </cell>
        </row>
        <row r="241">
          <cell r="A241">
            <v>721440</v>
          </cell>
        </row>
        <row r="242">
          <cell r="A242">
            <v>1498570</v>
          </cell>
        </row>
        <row r="243">
          <cell r="A243">
            <v>1359530</v>
          </cell>
        </row>
        <row r="244">
          <cell r="A244">
            <v>1707240</v>
          </cell>
        </row>
        <row r="245">
          <cell r="A245">
            <v>1688320</v>
          </cell>
        </row>
        <row r="246">
          <cell r="A246">
            <v>37140</v>
          </cell>
        </row>
        <row r="247">
          <cell r="A247">
            <v>35870</v>
          </cell>
        </row>
        <row r="248">
          <cell r="A248">
            <v>424590</v>
          </cell>
        </row>
        <row r="249">
          <cell r="A249">
            <v>424600</v>
          </cell>
        </row>
        <row r="250">
          <cell r="A250">
            <v>1498700</v>
          </cell>
        </row>
        <row r="251">
          <cell r="A251">
            <v>1509660</v>
          </cell>
        </row>
        <row r="252">
          <cell r="A252">
            <v>1342910</v>
          </cell>
        </row>
        <row r="253">
          <cell r="A253">
            <v>1342920</v>
          </cell>
        </row>
        <row r="254">
          <cell r="A254">
            <v>1342930</v>
          </cell>
        </row>
        <row r="255">
          <cell r="A255">
            <v>1489490</v>
          </cell>
        </row>
        <row r="256">
          <cell r="A256">
            <v>1342940</v>
          </cell>
        </row>
        <row r="257">
          <cell r="A257">
            <v>106290</v>
          </cell>
        </row>
        <row r="258">
          <cell r="A258">
            <v>1461140</v>
          </cell>
        </row>
        <row r="259">
          <cell r="A259">
            <v>1379950</v>
          </cell>
        </row>
        <row r="260">
          <cell r="A260">
            <v>1523780</v>
          </cell>
        </row>
        <row r="261">
          <cell r="A261">
            <v>1379960</v>
          </cell>
        </row>
        <row r="262">
          <cell r="A262">
            <v>1356460</v>
          </cell>
        </row>
        <row r="263">
          <cell r="A263">
            <v>423620</v>
          </cell>
        </row>
        <row r="264">
          <cell r="A264">
            <v>1096980</v>
          </cell>
        </row>
        <row r="265">
          <cell r="A265">
            <v>1096970</v>
          </cell>
        </row>
        <row r="266">
          <cell r="A266">
            <v>1501130</v>
          </cell>
        </row>
        <row r="267">
          <cell r="A267">
            <v>453710</v>
          </cell>
        </row>
        <row r="268">
          <cell r="A268">
            <v>1553120</v>
          </cell>
        </row>
        <row r="269">
          <cell r="A269">
            <v>1524910</v>
          </cell>
        </row>
        <row r="270">
          <cell r="A270">
            <v>1250860</v>
          </cell>
        </row>
        <row r="271">
          <cell r="A271">
            <v>49560</v>
          </cell>
        </row>
        <row r="272">
          <cell r="A272">
            <v>1940670</v>
          </cell>
        </row>
        <row r="273">
          <cell r="A273">
            <v>1606030</v>
          </cell>
        </row>
        <row r="274">
          <cell r="A274">
            <v>1700770</v>
          </cell>
        </row>
        <row r="275">
          <cell r="A275">
            <v>1378040</v>
          </cell>
        </row>
        <row r="276">
          <cell r="A276">
            <v>1378050</v>
          </cell>
        </row>
        <row r="277">
          <cell r="A277">
            <v>1378030</v>
          </cell>
        </row>
        <row r="278">
          <cell r="A278">
            <v>1378070</v>
          </cell>
        </row>
        <row r="279">
          <cell r="A279">
            <v>1473490</v>
          </cell>
        </row>
        <row r="280">
          <cell r="A280">
            <v>1484770</v>
          </cell>
        </row>
        <row r="281">
          <cell r="A281">
            <v>1484870</v>
          </cell>
        </row>
        <row r="282">
          <cell r="A282">
            <v>1484850</v>
          </cell>
        </row>
        <row r="283">
          <cell r="A283">
            <v>1153800</v>
          </cell>
        </row>
        <row r="284">
          <cell r="A284">
            <v>1153810</v>
          </cell>
        </row>
        <row r="285">
          <cell r="A285">
            <v>1534140</v>
          </cell>
        </row>
        <row r="286">
          <cell r="A286">
            <v>1534170</v>
          </cell>
        </row>
        <row r="287">
          <cell r="A287">
            <v>1645530</v>
          </cell>
        </row>
        <row r="288">
          <cell r="A288">
            <v>1135800</v>
          </cell>
        </row>
        <row r="289">
          <cell r="A289">
            <v>1707190</v>
          </cell>
        </row>
        <row r="290">
          <cell r="A290">
            <v>1509220</v>
          </cell>
        </row>
        <row r="291">
          <cell r="A291">
            <v>1366700</v>
          </cell>
        </row>
        <row r="292">
          <cell r="A292">
            <v>1366710</v>
          </cell>
        </row>
        <row r="293">
          <cell r="A293">
            <v>1591740</v>
          </cell>
        </row>
        <row r="294">
          <cell r="A294">
            <v>1419070</v>
          </cell>
        </row>
        <row r="295">
          <cell r="A295">
            <v>1438850</v>
          </cell>
        </row>
        <row r="296">
          <cell r="A296">
            <v>1438860</v>
          </cell>
        </row>
        <row r="297">
          <cell r="A297">
            <v>1546510</v>
          </cell>
        </row>
        <row r="298">
          <cell r="A298">
            <v>1542600</v>
          </cell>
        </row>
        <row r="299">
          <cell r="A299">
            <v>1599550</v>
          </cell>
        </row>
        <row r="300">
          <cell r="A300">
            <v>1314890</v>
          </cell>
        </row>
        <row r="301">
          <cell r="A301">
            <v>1599520</v>
          </cell>
        </row>
        <row r="302">
          <cell r="A302">
            <v>1380120</v>
          </cell>
        </row>
        <row r="303">
          <cell r="A303">
            <v>1666770</v>
          </cell>
        </row>
        <row r="304">
          <cell r="A304">
            <v>1666780</v>
          </cell>
        </row>
        <row r="305">
          <cell r="A305">
            <v>1505740</v>
          </cell>
        </row>
        <row r="306">
          <cell r="A306">
            <v>1411080</v>
          </cell>
        </row>
        <row r="307">
          <cell r="A307">
            <v>1179080</v>
          </cell>
        </row>
        <row r="308">
          <cell r="A308">
            <v>1445830</v>
          </cell>
        </row>
        <row r="309">
          <cell r="A309">
            <v>1445940</v>
          </cell>
        </row>
        <row r="310">
          <cell r="A310">
            <v>1504340</v>
          </cell>
        </row>
        <row r="311">
          <cell r="A311">
            <v>1380980</v>
          </cell>
        </row>
        <row r="312">
          <cell r="A312">
            <v>1454270</v>
          </cell>
        </row>
        <row r="313">
          <cell r="A313">
            <v>1332060</v>
          </cell>
        </row>
        <row r="314">
          <cell r="A314">
            <v>1345220</v>
          </cell>
        </row>
        <row r="315">
          <cell r="A315">
            <v>1345250</v>
          </cell>
        </row>
        <row r="316">
          <cell r="A316">
            <v>4300</v>
          </cell>
        </row>
        <row r="317">
          <cell r="A317">
            <v>1205940</v>
          </cell>
        </row>
        <row r="318">
          <cell r="A318">
            <v>1345540</v>
          </cell>
        </row>
        <row r="319">
          <cell r="A319">
            <v>1299290</v>
          </cell>
        </row>
        <row r="320">
          <cell r="A320">
            <v>1080370</v>
          </cell>
        </row>
        <row r="321">
          <cell r="A321">
            <v>2400</v>
          </cell>
        </row>
        <row r="322">
          <cell r="A322">
            <v>1515090</v>
          </cell>
        </row>
        <row r="323">
          <cell r="A323">
            <v>1580640</v>
          </cell>
        </row>
        <row r="324">
          <cell r="A324">
            <v>1683830</v>
          </cell>
        </row>
        <row r="325">
          <cell r="A325">
            <v>1580990</v>
          </cell>
        </row>
        <row r="326">
          <cell r="A326">
            <v>1064520</v>
          </cell>
        </row>
        <row r="327">
          <cell r="A327">
            <v>1497300</v>
          </cell>
        </row>
        <row r="328">
          <cell r="A328">
            <v>1599970</v>
          </cell>
        </row>
        <row r="329">
          <cell r="A329">
            <v>1234800</v>
          </cell>
        </row>
        <row r="330">
          <cell r="A330">
            <v>1704160</v>
          </cell>
        </row>
        <row r="331">
          <cell r="A331">
            <v>1314510</v>
          </cell>
        </row>
        <row r="332">
          <cell r="A332">
            <v>1546070</v>
          </cell>
        </row>
        <row r="333">
          <cell r="A333">
            <v>1639200</v>
          </cell>
        </row>
        <row r="334">
          <cell r="A334">
            <v>1736960</v>
          </cell>
        </row>
        <row r="335">
          <cell r="A335">
            <v>1377990</v>
          </cell>
        </row>
        <row r="336">
          <cell r="A336">
            <v>816410</v>
          </cell>
        </row>
        <row r="337">
          <cell r="A337">
            <v>1235460</v>
          </cell>
        </row>
        <row r="338">
          <cell r="A338">
            <v>1553530</v>
          </cell>
        </row>
        <row r="339">
          <cell r="A339">
            <v>647280</v>
          </cell>
        </row>
        <row r="340">
          <cell r="A340">
            <v>360160</v>
          </cell>
        </row>
        <row r="341">
          <cell r="A341">
            <v>1553550</v>
          </cell>
        </row>
        <row r="342">
          <cell r="A342">
            <v>1378020</v>
          </cell>
        </row>
        <row r="343">
          <cell r="A343">
            <v>1546950</v>
          </cell>
        </row>
        <row r="344">
          <cell r="A344">
            <v>1758850</v>
          </cell>
        </row>
        <row r="345">
          <cell r="A345">
            <v>1638500</v>
          </cell>
        </row>
        <row r="346">
          <cell r="A346">
            <v>1783090</v>
          </cell>
        </row>
        <row r="347">
          <cell r="A347">
            <v>1686840</v>
          </cell>
        </row>
        <row r="348">
          <cell r="A348">
            <v>714180</v>
          </cell>
        </row>
        <row r="349">
          <cell r="A349">
            <v>1160850</v>
          </cell>
        </row>
        <row r="350">
          <cell r="A350">
            <v>453530</v>
          </cell>
        </row>
        <row r="351">
          <cell r="A351">
            <v>357230</v>
          </cell>
        </row>
        <row r="352">
          <cell r="A352">
            <v>1545550</v>
          </cell>
        </row>
        <row r="353">
          <cell r="A353">
            <v>1333440</v>
          </cell>
        </row>
        <row r="354">
          <cell r="A354">
            <v>1664400</v>
          </cell>
        </row>
        <row r="355">
          <cell r="A355">
            <v>1433090</v>
          </cell>
        </row>
        <row r="356">
          <cell r="A356">
            <v>1424530</v>
          </cell>
        </row>
        <row r="357">
          <cell r="A357">
            <v>728070</v>
          </cell>
        </row>
        <row r="358">
          <cell r="A358">
            <v>357240</v>
          </cell>
        </row>
        <row r="359">
          <cell r="A359">
            <v>1028340</v>
          </cell>
        </row>
        <row r="360">
          <cell r="A360">
            <v>1238110</v>
          </cell>
        </row>
        <row r="361">
          <cell r="A361">
            <v>357210</v>
          </cell>
        </row>
        <row r="362">
          <cell r="A362">
            <v>1257590</v>
          </cell>
        </row>
        <row r="363">
          <cell r="A363">
            <v>357190</v>
          </cell>
        </row>
        <row r="364">
          <cell r="A364">
            <v>357180</v>
          </cell>
        </row>
        <row r="365">
          <cell r="A365">
            <v>1138210</v>
          </cell>
        </row>
        <row r="366">
          <cell r="A366">
            <v>357200</v>
          </cell>
        </row>
        <row r="367">
          <cell r="A367">
            <v>357270</v>
          </cell>
        </row>
        <row r="368">
          <cell r="A368">
            <v>1443770</v>
          </cell>
        </row>
        <row r="369">
          <cell r="A369">
            <v>1432090</v>
          </cell>
        </row>
        <row r="370">
          <cell r="A370">
            <v>1346410</v>
          </cell>
        </row>
        <row r="371">
          <cell r="A371">
            <v>1441730</v>
          </cell>
        </row>
        <row r="372">
          <cell r="A372">
            <v>1440440</v>
          </cell>
        </row>
        <row r="373">
          <cell r="A373">
            <v>357320</v>
          </cell>
        </row>
        <row r="374">
          <cell r="A374">
            <v>357330</v>
          </cell>
        </row>
        <row r="375">
          <cell r="A375">
            <v>357420</v>
          </cell>
        </row>
        <row r="376">
          <cell r="A376">
            <v>357410</v>
          </cell>
        </row>
        <row r="377">
          <cell r="A377">
            <v>1379100</v>
          </cell>
        </row>
        <row r="378">
          <cell r="A378">
            <v>1704470</v>
          </cell>
        </row>
        <row r="379">
          <cell r="A379">
            <v>39350</v>
          </cell>
        </row>
        <row r="380">
          <cell r="A380">
            <v>1686960</v>
          </cell>
        </row>
        <row r="381">
          <cell r="A381">
            <v>1107640</v>
          </cell>
        </row>
        <row r="382">
          <cell r="A382">
            <v>1294470</v>
          </cell>
        </row>
        <row r="383">
          <cell r="A383">
            <v>1345570</v>
          </cell>
        </row>
        <row r="384">
          <cell r="A384">
            <v>1346520</v>
          </cell>
        </row>
        <row r="385">
          <cell r="A385">
            <v>1346530</v>
          </cell>
        </row>
        <row r="386">
          <cell r="A386">
            <v>1346560</v>
          </cell>
        </row>
        <row r="387">
          <cell r="A387">
            <v>1346580</v>
          </cell>
        </row>
        <row r="388">
          <cell r="A388">
            <v>1823310</v>
          </cell>
        </row>
        <row r="389">
          <cell r="A389">
            <v>1266140</v>
          </cell>
        </row>
        <row r="390">
          <cell r="A390">
            <v>1823320</v>
          </cell>
        </row>
        <row r="391">
          <cell r="A391">
            <v>1591950</v>
          </cell>
        </row>
        <row r="392">
          <cell r="A392">
            <v>1591940</v>
          </cell>
        </row>
        <row r="393">
          <cell r="A393">
            <v>1591930</v>
          </cell>
        </row>
        <row r="394">
          <cell r="A394">
            <v>1630440</v>
          </cell>
        </row>
        <row r="395">
          <cell r="A395">
            <v>1346570</v>
          </cell>
        </row>
        <row r="396">
          <cell r="A396">
            <v>1345910</v>
          </cell>
        </row>
        <row r="397">
          <cell r="A397">
            <v>1567920</v>
          </cell>
        </row>
        <row r="398">
          <cell r="A398">
            <v>1567930</v>
          </cell>
        </row>
        <row r="399">
          <cell r="A399">
            <v>1345790</v>
          </cell>
        </row>
        <row r="400">
          <cell r="A400">
            <v>1317030</v>
          </cell>
        </row>
        <row r="401">
          <cell r="A401">
            <v>1317050</v>
          </cell>
        </row>
        <row r="402">
          <cell r="A402">
            <v>1550030</v>
          </cell>
        </row>
        <row r="403">
          <cell r="A403">
            <v>1550010</v>
          </cell>
        </row>
        <row r="404">
          <cell r="A404">
            <v>1549970</v>
          </cell>
        </row>
        <row r="405">
          <cell r="A405">
            <v>1583790</v>
          </cell>
        </row>
        <row r="406">
          <cell r="A406">
            <v>1549990</v>
          </cell>
        </row>
        <row r="407">
          <cell r="A407">
            <v>1432810</v>
          </cell>
        </row>
        <row r="408">
          <cell r="A408">
            <v>1317100</v>
          </cell>
        </row>
        <row r="409">
          <cell r="A409">
            <v>1536740</v>
          </cell>
        </row>
        <row r="410">
          <cell r="A410">
            <v>14240</v>
          </cell>
        </row>
        <row r="411">
          <cell r="A411">
            <v>1120900</v>
          </cell>
        </row>
        <row r="412">
          <cell r="A412">
            <v>5200</v>
          </cell>
        </row>
        <row r="413">
          <cell r="A413">
            <v>39020</v>
          </cell>
        </row>
        <row r="414">
          <cell r="A414">
            <v>39030</v>
          </cell>
        </row>
        <row r="415">
          <cell r="A415">
            <v>36630</v>
          </cell>
        </row>
        <row r="416">
          <cell r="A416">
            <v>1941640</v>
          </cell>
        </row>
        <row r="417">
          <cell r="A417">
            <v>1154070</v>
          </cell>
        </row>
        <row r="418">
          <cell r="A418">
            <v>791210</v>
          </cell>
        </row>
        <row r="419">
          <cell r="A419">
            <v>1215920</v>
          </cell>
        </row>
        <row r="420">
          <cell r="A420">
            <v>1215960</v>
          </cell>
        </row>
        <row r="421">
          <cell r="A421">
            <v>1215940</v>
          </cell>
        </row>
        <row r="422">
          <cell r="A422">
            <v>1366310</v>
          </cell>
        </row>
        <row r="423">
          <cell r="A423">
            <v>1269200</v>
          </cell>
        </row>
        <row r="424">
          <cell r="A424">
            <v>371210</v>
          </cell>
        </row>
        <row r="425">
          <cell r="A425">
            <v>346910</v>
          </cell>
        </row>
        <row r="426">
          <cell r="A426">
            <v>346930</v>
          </cell>
        </row>
        <row r="427">
          <cell r="A427">
            <v>346920</v>
          </cell>
        </row>
        <row r="428">
          <cell r="A428">
            <v>1494660</v>
          </cell>
        </row>
        <row r="429">
          <cell r="A429">
            <v>1494650</v>
          </cell>
        </row>
        <row r="430">
          <cell r="A430">
            <v>1494640</v>
          </cell>
        </row>
        <row r="431">
          <cell r="A431">
            <v>1136980</v>
          </cell>
        </row>
        <row r="432">
          <cell r="A432">
            <v>1136990</v>
          </cell>
        </row>
        <row r="433">
          <cell r="A433">
            <v>1477860</v>
          </cell>
        </row>
        <row r="434">
          <cell r="A434">
            <v>1477850</v>
          </cell>
        </row>
        <row r="435">
          <cell r="A435">
            <v>1136970</v>
          </cell>
        </row>
        <row r="436">
          <cell r="A436">
            <v>1626090</v>
          </cell>
        </row>
        <row r="437">
          <cell r="A437">
            <v>1626100</v>
          </cell>
        </row>
        <row r="438">
          <cell r="A438">
            <v>1626080</v>
          </cell>
        </row>
        <row r="439">
          <cell r="A439">
            <v>1626070</v>
          </cell>
        </row>
        <row r="440">
          <cell r="A440">
            <v>1781210</v>
          </cell>
        </row>
        <row r="441">
          <cell r="A441">
            <v>1781220</v>
          </cell>
        </row>
        <row r="442">
          <cell r="A442">
            <v>1781240</v>
          </cell>
        </row>
        <row r="443">
          <cell r="A443">
            <v>1635380</v>
          </cell>
        </row>
        <row r="444">
          <cell r="A444">
            <v>1635390</v>
          </cell>
        </row>
        <row r="445">
          <cell r="A445">
            <v>1480200</v>
          </cell>
        </row>
        <row r="446">
          <cell r="A446">
            <v>1480180</v>
          </cell>
        </row>
        <row r="447">
          <cell r="A447">
            <v>1480190</v>
          </cell>
        </row>
        <row r="448">
          <cell r="A448">
            <v>1480220</v>
          </cell>
        </row>
        <row r="449">
          <cell r="A449">
            <v>1216000</v>
          </cell>
        </row>
        <row r="450">
          <cell r="A450">
            <v>1215970</v>
          </cell>
        </row>
        <row r="451">
          <cell r="A451">
            <v>1131020</v>
          </cell>
        </row>
        <row r="452">
          <cell r="A452">
            <v>1672220</v>
          </cell>
        </row>
        <row r="453">
          <cell r="A453">
            <v>1131010</v>
          </cell>
        </row>
        <row r="454">
          <cell r="A454">
            <v>1705370</v>
          </cell>
        </row>
        <row r="455">
          <cell r="A455">
            <v>1704050</v>
          </cell>
        </row>
        <row r="456">
          <cell r="A456">
            <v>1271980</v>
          </cell>
        </row>
        <row r="457">
          <cell r="A457">
            <v>1840020</v>
          </cell>
        </row>
        <row r="458">
          <cell r="A458">
            <v>1508380</v>
          </cell>
        </row>
        <row r="459">
          <cell r="A459">
            <v>1147310</v>
          </cell>
        </row>
        <row r="460">
          <cell r="A460">
            <v>1840030</v>
          </cell>
        </row>
        <row r="461">
          <cell r="A461">
            <v>1147320</v>
          </cell>
        </row>
        <row r="462">
          <cell r="A462">
            <v>805990</v>
          </cell>
        </row>
        <row r="463">
          <cell r="A463">
            <v>1508390</v>
          </cell>
        </row>
        <row r="464">
          <cell r="A464">
            <v>453680</v>
          </cell>
        </row>
        <row r="465">
          <cell r="A465">
            <v>1514270</v>
          </cell>
        </row>
        <row r="466">
          <cell r="A466">
            <v>1508400</v>
          </cell>
        </row>
        <row r="467">
          <cell r="A467">
            <v>1132030</v>
          </cell>
        </row>
        <row r="468">
          <cell r="A468">
            <v>1046860</v>
          </cell>
        </row>
        <row r="469">
          <cell r="A469">
            <v>1132040</v>
          </cell>
        </row>
        <row r="470">
          <cell r="A470">
            <v>1544520</v>
          </cell>
        </row>
        <row r="471">
          <cell r="A471">
            <v>1413510</v>
          </cell>
        </row>
        <row r="472">
          <cell r="A472">
            <v>1544620</v>
          </cell>
        </row>
        <row r="473">
          <cell r="A473">
            <v>1636570</v>
          </cell>
        </row>
        <row r="474">
          <cell r="A474">
            <v>1544490</v>
          </cell>
        </row>
        <row r="475">
          <cell r="A475">
            <v>1636580</v>
          </cell>
        </row>
        <row r="476">
          <cell r="A476">
            <v>1636590</v>
          </cell>
        </row>
        <row r="477">
          <cell r="A477">
            <v>1531380</v>
          </cell>
        </row>
        <row r="478">
          <cell r="A478">
            <v>1544530</v>
          </cell>
        </row>
        <row r="479">
          <cell r="A479">
            <v>1262950</v>
          </cell>
        </row>
        <row r="480">
          <cell r="A480">
            <v>1824050</v>
          </cell>
        </row>
        <row r="481">
          <cell r="A481">
            <v>1451800</v>
          </cell>
        </row>
        <row r="482">
          <cell r="A482">
            <v>1451810</v>
          </cell>
        </row>
        <row r="483">
          <cell r="A483">
            <v>1451790</v>
          </cell>
        </row>
        <row r="484">
          <cell r="A484">
            <v>1703350</v>
          </cell>
        </row>
        <row r="485">
          <cell r="A485">
            <v>1703340</v>
          </cell>
        </row>
        <row r="486">
          <cell r="A486">
            <v>1544540</v>
          </cell>
        </row>
        <row r="487">
          <cell r="A487">
            <v>1633920</v>
          </cell>
        </row>
        <row r="488">
          <cell r="A488">
            <v>1312880</v>
          </cell>
        </row>
        <row r="489">
          <cell r="A489">
            <v>1543360</v>
          </cell>
        </row>
        <row r="490">
          <cell r="A490">
            <v>1262960</v>
          </cell>
        </row>
        <row r="491">
          <cell r="A491">
            <v>1544610</v>
          </cell>
        </row>
        <row r="492">
          <cell r="A492">
            <v>1395430</v>
          </cell>
        </row>
        <row r="493">
          <cell r="A493">
            <v>1467510</v>
          </cell>
        </row>
        <row r="494">
          <cell r="A494">
            <v>1544550</v>
          </cell>
        </row>
        <row r="495">
          <cell r="A495">
            <v>1544390</v>
          </cell>
        </row>
        <row r="496">
          <cell r="A496">
            <v>1744370</v>
          </cell>
        </row>
        <row r="497">
          <cell r="A497">
            <v>1277040</v>
          </cell>
        </row>
        <row r="498">
          <cell r="A498">
            <v>1585520</v>
          </cell>
        </row>
        <row r="499">
          <cell r="A499">
            <v>1467520</v>
          </cell>
        </row>
        <row r="500">
          <cell r="A500">
            <v>1495920</v>
          </cell>
        </row>
        <row r="501">
          <cell r="A501">
            <v>1637310</v>
          </cell>
        </row>
        <row r="502">
          <cell r="A502">
            <v>1479180</v>
          </cell>
        </row>
        <row r="503">
          <cell r="A503">
            <v>1317010</v>
          </cell>
        </row>
        <row r="504">
          <cell r="A504">
            <v>1257810</v>
          </cell>
        </row>
        <row r="505">
          <cell r="A505">
            <v>1371800</v>
          </cell>
        </row>
        <row r="506">
          <cell r="A506">
            <v>1413490</v>
          </cell>
        </row>
        <row r="507">
          <cell r="A507">
            <v>1266890</v>
          </cell>
        </row>
        <row r="508">
          <cell r="A508">
            <v>1413480</v>
          </cell>
        </row>
        <row r="509">
          <cell r="A509">
            <v>1780540</v>
          </cell>
        </row>
        <row r="510">
          <cell r="A510">
            <v>1317440</v>
          </cell>
        </row>
        <row r="511">
          <cell r="A511">
            <v>1937880</v>
          </cell>
        </row>
        <row r="512">
          <cell r="A512">
            <v>1317450</v>
          </cell>
        </row>
        <row r="513">
          <cell r="A513">
            <v>1280680</v>
          </cell>
        </row>
        <row r="514">
          <cell r="A514">
            <v>1317430</v>
          </cell>
        </row>
        <row r="515">
          <cell r="A515">
            <v>1188140</v>
          </cell>
        </row>
        <row r="516">
          <cell r="A516">
            <v>1448110</v>
          </cell>
        </row>
        <row r="517">
          <cell r="A517">
            <v>1188170</v>
          </cell>
        </row>
        <row r="518">
          <cell r="A518">
            <v>1515960</v>
          </cell>
        </row>
        <row r="519">
          <cell r="A519">
            <v>1515950</v>
          </cell>
        </row>
        <row r="520">
          <cell r="A520">
            <v>1515970</v>
          </cell>
        </row>
        <row r="521">
          <cell r="A521">
            <v>1162630</v>
          </cell>
        </row>
        <row r="522">
          <cell r="A522">
            <v>1687720</v>
          </cell>
        </row>
        <row r="523">
          <cell r="A523">
            <v>1686940</v>
          </cell>
        </row>
        <row r="524">
          <cell r="A524">
            <v>1477280</v>
          </cell>
        </row>
        <row r="525">
          <cell r="A525">
            <v>1117840</v>
          </cell>
        </row>
        <row r="526">
          <cell r="A526">
            <v>1117920</v>
          </cell>
        </row>
        <row r="527">
          <cell r="A527">
            <v>1266880</v>
          </cell>
        </row>
        <row r="528">
          <cell r="A528">
            <v>1117830</v>
          </cell>
        </row>
        <row r="529">
          <cell r="A529">
            <v>1119280</v>
          </cell>
        </row>
        <row r="530">
          <cell r="A530">
            <v>1117900</v>
          </cell>
        </row>
        <row r="531">
          <cell r="A531">
            <v>1146580</v>
          </cell>
        </row>
        <row r="532">
          <cell r="A532">
            <v>1388500</v>
          </cell>
        </row>
        <row r="533">
          <cell r="A533">
            <v>1333770</v>
          </cell>
        </row>
        <row r="534">
          <cell r="A534">
            <v>1745260</v>
          </cell>
        </row>
        <row r="535">
          <cell r="A535">
            <v>1435170</v>
          </cell>
        </row>
        <row r="536">
          <cell r="A536">
            <v>1562070</v>
          </cell>
        </row>
        <row r="537">
          <cell r="A537">
            <v>1411360</v>
          </cell>
        </row>
        <row r="538">
          <cell r="A538">
            <v>1345610</v>
          </cell>
        </row>
        <row r="539">
          <cell r="A539">
            <v>79990</v>
          </cell>
        </row>
        <row r="540">
          <cell r="A540">
            <v>1090530</v>
          </cell>
        </row>
        <row r="541">
          <cell r="A541">
            <v>1106960</v>
          </cell>
        </row>
        <row r="542">
          <cell r="A542">
            <v>31230</v>
          </cell>
        </row>
        <row r="543">
          <cell r="A543">
            <v>1942190</v>
          </cell>
        </row>
        <row r="544">
          <cell r="A544">
            <v>1239410</v>
          </cell>
        </row>
        <row r="545">
          <cell r="A545">
            <v>1531010</v>
          </cell>
        </row>
        <row r="546">
          <cell r="A546">
            <v>1451580</v>
          </cell>
        </row>
        <row r="547">
          <cell r="A547">
            <v>1364210</v>
          </cell>
        </row>
        <row r="548">
          <cell r="A548">
            <v>1298810</v>
          </cell>
        </row>
        <row r="549">
          <cell r="A549">
            <v>1532890</v>
          </cell>
        </row>
        <row r="550">
          <cell r="A550">
            <v>1614310</v>
          </cell>
        </row>
        <row r="551">
          <cell r="A551">
            <v>1486640</v>
          </cell>
        </row>
        <row r="552">
          <cell r="A552">
            <v>1826390</v>
          </cell>
        </row>
        <row r="553">
          <cell r="A553">
            <v>1508530</v>
          </cell>
        </row>
        <row r="554">
          <cell r="A554">
            <v>1508550</v>
          </cell>
        </row>
        <row r="555">
          <cell r="A555">
            <v>1507820</v>
          </cell>
        </row>
        <row r="556">
          <cell r="A556">
            <v>1825970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</sheetNames>
    <sheetDataSet>
      <sheetData sheetId="0">
        <row r="2">
          <cell r="D2">
            <v>390</v>
          </cell>
        </row>
        <row r="3">
          <cell r="D3">
            <v>400</v>
          </cell>
        </row>
        <row r="4">
          <cell r="D4">
            <v>2050</v>
          </cell>
        </row>
        <row r="5">
          <cell r="D5">
            <v>2400</v>
          </cell>
        </row>
        <row r="6">
          <cell r="D6">
            <v>3770</v>
          </cell>
        </row>
        <row r="7">
          <cell r="D7">
            <v>4300</v>
          </cell>
        </row>
        <row r="8">
          <cell r="D8">
            <v>4400</v>
          </cell>
        </row>
        <row r="9">
          <cell r="D9">
            <v>5200</v>
          </cell>
        </row>
        <row r="10">
          <cell r="D10">
            <v>7750</v>
          </cell>
        </row>
        <row r="11">
          <cell r="D11">
            <v>7770</v>
          </cell>
        </row>
        <row r="12">
          <cell r="D12">
            <v>7780</v>
          </cell>
        </row>
        <row r="13">
          <cell r="D13">
            <v>8150</v>
          </cell>
        </row>
        <row r="14">
          <cell r="D14">
            <v>10160</v>
          </cell>
        </row>
        <row r="15">
          <cell r="D15">
            <v>11550</v>
          </cell>
        </row>
        <row r="16">
          <cell r="D16">
            <v>12690</v>
          </cell>
        </row>
        <row r="17">
          <cell r="D17">
            <v>12700</v>
          </cell>
        </row>
        <row r="18">
          <cell r="D18">
            <v>13500</v>
          </cell>
        </row>
        <row r="19">
          <cell r="D19">
            <v>16400</v>
          </cell>
        </row>
        <row r="20">
          <cell r="D20">
            <v>16410</v>
          </cell>
        </row>
        <row r="21">
          <cell r="D21">
            <v>27940</v>
          </cell>
        </row>
        <row r="22">
          <cell r="D22">
            <v>30600</v>
          </cell>
        </row>
        <row r="23">
          <cell r="D23">
            <v>30680</v>
          </cell>
        </row>
        <row r="24">
          <cell r="D24">
            <v>30870</v>
          </cell>
        </row>
        <row r="25">
          <cell r="D25">
            <v>31230</v>
          </cell>
        </row>
        <row r="26">
          <cell r="D26">
            <v>33580</v>
          </cell>
        </row>
        <row r="27">
          <cell r="D27">
            <v>35870</v>
          </cell>
        </row>
        <row r="28">
          <cell r="D28">
            <v>36630</v>
          </cell>
        </row>
        <row r="29">
          <cell r="D29">
            <v>36830</v>
          </cell>
        </row>
        <row r="30">
          <cell r="D30">
            <v>36870</v>
          </cell>
        </row>
        <row r="31">
          <cell r="D31">
            <v>37140</v>
          </cell>
        </row>
        <row r="32">
          <cell r="D32">
            <v>37650</v>
          </cell>
        </row>
        <row r="33">
          <cell r="D33">
            <v>39020</v>
          </cell>
        </row>
        <row r="34">
          <cell r="D34">
            <v>39030</v>
          </cell>
        </row>
        <row r="35">
          <cell r="D35">
            <v>49860</v>
          </cell>
        </row>
        <row r="36">
          <cell r="D36">
            <v>60410</v>
          </cell>
        </row>
        <row r="37">
          <cell r="D37">
            <v>66530</v>
          </cell>
        </row>
        <row r="38">
          <cell r="D38">
            <v>70330</v>
          </cell>
        </row>
        <row r="39">
          <cell r="D39">
            <v>83420</v>
          </cell>
        </row>
        <row r="40">
          <cell r="D40">
            <v>106290</v>
          </cell>
        </row>
        <row r="41">
          <cell r="D41">
            <v>115940</v>
          </cell>
        </row>
        <row r="42">
          <cell r="D42">
            <v>121480</v>
          </cell>
        </row>
        <row r="43">
          <cell r="D43">
            <v>121490</v>
          </cell>
        </row>
        <row r="44">
          <cell r="D44">
            <v>190760</v>
          </cell>
        </row>
        <row r="45">
          <cell r="D45">
            <v>254340</v>
          </cell>
        </row>
        <row r="46">
          <cell r="D46">
            <v>261850</v>
          </cell>
        </row>
        <row r="47">
          <cell r="D47">
            <v>277080</v>
          </cell>
        </row>
        <row r="48">
          <cell r="D48">
            <v>277090</v>
          </cell>
        </row>
        <row r="49">
          <cell r="D49">
            <v>277530</v>
          </cell>
        </row>
        <row r="50">
          <cell r="D50">
            <v>328170</v>
          </cell>
        </row>
        <row r="51">
          <cell r="D51">
            <v>345050</v>
          </cell>
        </row>
        <row r="52">
          <cell r="D52">
            <v>345860</v>
          </cell>
        </row>
        <row r="53">
          <cell r="D53">
            <v>345980</v>
          </cell>
        </row>
        <row r="54">
          <cell r="D54">
            <v>346280</v>
          </cell>
        </row>
        <row r="55">
          <cell r="D55">
            <v>346910</v>
          </cell>
        </row>
        <row r="56">
          <cell r="D56">
            <v>346920</v>
          </cell>
        </row>
        <row r="57">
          <cell r="D57">
            <v>346930</v>
          </cell>
        </row>
        <row r="58">
          <cell r="D58">
            <v>357190</v>
          </cell>
        </row>
        <row r="59">
          <cell r="D59">
            <v>357210</v>
          </cell>
        </row>
        <row r="60">
          <cell r="D60">
            <v>357230</v>
          </cell>
        </row>
        <row r="61">
          <cell r="D61">
            <v>357240</v>
          </cell>
        </row>
        <row r="62">
          <cell r="D62">
            <v>357270</v>
          </cell>
        </row>
        <row r="63">
          <cell r="D63">
            <v>357320</v>
          </cell>
        </row>
        <row r="64">
          <cell r="D64">
            <v>357330</v>
          </cell>
        </row>
        <row r="65">
          <cell r="D65">
            <v>357410</v>
          </cell>
        </row>
        <row r="66">
          <cell r="D66">
            <v>357420</v>
          </cell>
        </row>
        <row r="67">
          <cell r="D67">
            <v>357500</v>
          </cell>
        </row>
        <row r="68">
          <cell r="D68">
            <v>359470</v>
          </cell>
        </row>
        <row r="69">
          <cell r="D69">
            <v>370580</v>
          </cell>
        </row>
        <row r="70">
          <cell r="D70">
            <v>371210</v>
          </cell>
        </row>
        <row r="71">
          <cell r="D71">
            <v>384280</v>
          </cell>
        </row>
        <row r="72">
          <cell r="D72">
            <v>391920</v>
          </cell>
        </row>
        <row r="73">
          <cell r="D73">
            <v>400060</v>
          </cell>
        </row>
        <row r="74">
          <cell r="D74">
            <v>409780</v>
          </cell>
        </row>
        <row r="75">
          <cell r="D75">
            <v>424590</v>
          </cell>
        </row>
        <row r="76">
          <cell r="D76">
            <v>424600</v>
          </cell>
        </row>
        <row r="77">
          <cell r="D77">
            <v>425380</v>
          </cell>
        </row>
        <row r="78">
          <cell r="D78">
            <v>431090</v>
          </cell>
        </row>
        <row r="79">
          <cell r="D79">
            <v>431360</v>
          </cell>
        </row>
        <row r="80">
          <cell r="D80">
            <v>451980</v>
          </cell>
        </row>
        <row r="81">
          <cell r="D81">
            <v>451990</v>
          </cell>
        </row>
        <row r="82">
          <cell r="D82">
            <v>452000</v>
          </cell>
        </row>
        <row r="83">
          <cell r="D83">
            <v>453500</v>
          </cell>
        </row>
        <row r="84">
          <cell r="D84">
            <v>453510</v>
          </cell>
        </row>
        <row r="85">
          <cell r="D85">
            <v>453680</v>
          </cell>
        </row>
        <row r="86">
          <cell r="D86">
            <v>453710</v>
          </cell>
        </row>
        <row r="87">
          <cell r="D87">
            <v>454160</v>
          </cell>
        </row>
        <row r="88">
          <cell r="D88">
            <v>454850</v>
          </cell>
        </row>
        <row r="89">
          <cell r="D89">
            <v>456290</v>
          </cell>
        </row>
        <row r="90">
          <cell r="D90">
            <v>505850</v>
          </cell>
        </row>
        <row r="91">
          <cell r="D91">
            <v>505870</v>
          </cell>
        </row>
        <row r="92">
          <cell r="D92">
            <v>548740</v>
          </cell>
        </row>
        <row r="93">
          <cell r="D93">
            <v>604670</v>
          </cell>
        </row>
        <row r="94">
          <cell r="D94">
            <v>714180</v>
          </cell>
        </row>
        <row r="95">
          <cell r="D95">
            <v>721410</v>
          </cell>
        </row>
        <row r="96">
          <cell r="D96">
            <v>721430</v>
          </cell>
        </row>
        <row r="97">
          <cell r="D97">
            <v>721440</v>
          </cell>
        </row>
        <row r="98">
          <cell r="D98">
            <v>728070</v>
          </cell>
        </row>
        <row r="99">
          <cell r="D99">
            <v>791210</v>
          </cell>
        </row>
        <row r="100">
          <cell r="D100">
            <v>813310</v>
          </cell>
        </row>
        <row r="101">
          <cell r="D101">
            <v>816410</v>
          </cell>
        </row>
        <row r="102">
          <cell r="D102">
            <v>1016980</v>
          </cell>
        </row>
        <row r="103">
          <cell r="D103">
            <v>1028340</v>
          </cell>
        </row>
        <row r="104">
          <cell r="D104">
            <v>1040530</v>
          </cell>
        </row>
        <row r="105">
          <cell r="D105">
            <v>1040610</v>
          </cell>
        </row>
        <row r="106">
          <cell r="D106">
            <v>1044750</v>
          </cell>
        </row>
        <row r="107">
          <cell r="D107">
            <v>1064520</v>
          </cell>
        </row>
        <row r="108">
          <cell r="D108">
            <v>1065680</v>
          </cell>
        </row>
        <row r="109">
          <cell r="D109">
            <v>1070980</v>
          </cell>
        </row>
        <row r="110">
          <cell r="D110">
            <v>1072810</v>
          </cell>
        </row>
        <row r="111">
          <cell r="D111">
            <v>1078790</v>
          </cell>
        </row>
        <row r="112">
          <cell r="D112">
            <v>1078860</v>
          </cell>
        </row>
        <row r="113">
          <cell r="D113">
            <v>1078890</v>
          </cell>
        </row>
        <row r="114">
          <cell r="D114">
            <v>1105650</v>
          </cell>
        </row>
        <row r="115">
          <cell r="D115">
            <v>1112170</v>
          </cell>
        </row>
        <row r="116">
          <cell r="D116">
            <v>1117080</v>
          </cell>
        </row>
        <row r="117">
          <cell r="D117">
            <v>1117830</v>
          </cell>
        </row>
        <row r="118">
          <cell r="D118">
            <v>1117920</v>
          </cell>
        </row>
        <row r="119">
          <cell r="D119">
            <v>1119280</v>
          </cell>
        </row>
        <row r="120">
          <cell r="D120">
            <v>1119560</v>
          </cell>
        </row>
        <row r="121">
          <cell r="D121">
            <v>1120910</v>
          </cell>
        </row>
        <row r="122">
          <cell r="D122">
            <v>1121120</v>
          </cell>
        </row>
        <row r="123">
          <cell r="D123">
            <v>1125560</v>
          </cell>
        </row>
        <row r="124">
          <cell r="D124">
            <v>1125580</v>
          </cell>
        </row>
        <row r="125">
          <cell r="D125">
            <v>1125600</v>
          </cell>
        </row>
        <row r="126">
          <cell r="D126">
            <v>1125610</v>
          </cell>
        </row>
        <row r="127">
          <cell r="D127">
            <v>1131010</v>
          </cell>
        </row>
        <row r="128">
          <cell r="D128">
            <v>1131020</v>
          </cell>
        </row>
        <row r="129">
          <cell r="D129">
            <v>1132040</v>
          </cell>
        </row>
        <row r="130">
          <cell r="D130">
            <v>1136970</v>
          </cell>
        </row>
        <row r="131">
          <cell r="D131">
            <v>1136980</v>
          </cell>
        </row>
        <row r="132">
          <cell r="D132">
            <v>1136990</v>
          </cell>
        </row>
        <row r="133">
          <cell r="D133">
            <v>1138210</v>
          </cell>
        </row>
        <row r="134">
          <cell r="D134">
            <v>1138260</v>
          </cell>
        </row>
        <row r="135">
          <cell r="D135">
            <v>1142400</v>
          </cell>
        </row>
        <row r="136">
          <cell r="D136">
            <v>1146580</v>
          </cell>
        </row>
        <row r="137">
          <cell r="D137">
            <v>1147310</v>
          </cell>
        </row>
        <row r="138">
          <cell r="D138">
            <v>1148380</v>
          </cell>
        </row>
        <row r="139">
          <cell r="D139">
            <v>1153800</v>
          </cell>
        </row>
        <row r="140">
          <cell r="D140">
            <v>1153810</v>
          </cell>
        </row>
        <row r="141">
          <cell r="D141">
            <v>1154070</v>
          </cell>
        </row>
        <row r="142">
          <cell r="D142">
            <v>1156880</v>
          </cell>
        </row>
        <row r="143">
          <cell r="D143">
            <v>1156960</v>
          </cell>
        </row>
        <row r="144">
          <cell r="D144">
            <v>1158660</v>
          </cell>
        </row>
        <row r="145">
          <cell r="D145">
            <v>1162630</v>
          </cell>
        </row>
        <row r="146">
          <cell r="D146">
            <v>1162750</v>
          </cell>
        </row>
        <row r="147">
          <cell r="D147">
            <v>1164520</v>
          </cell>
        </row>
        <row r="148">
          <cell r="D148">
            <v>1166360</v>
          </cell>
        </row>
        <row r="149">
          <cell r="D149">
            <v>1166370</v>
          </cell>
        </row>
        <row r="150">
          <cell r="D150">
            <v>1166380</v>
          </cell>
        </row>
        <row r="151">
          <cell r="D151">
            <v>1173170</v>
          </cell>
        </row>
        <row r="152">
          <cell r="D152">
            <v>1173530</v>
          </cell>
        </row>
        <row r="153">
          <cell r="D153">
            <v>1174630</v>
          </cell>
        </row>
        <row r="154">
          <cell r="D154">
            <v>1179330</v>
          </cell>
        </row>
        <row r="155">
          <cell r="D155">
            <v>1184850</v>
          </cell>
        </row>
        <row r="156">
          <cell r="D156">
            <v>1184860</v>
          </cell>
        </row>
        <row r="157">
          <cell r="D157">
            <v>1188140</v>
          </cell>
        </row>
        <row r="158">
          <cell r="D158">
            <v>1188170</v>
          </cell>
        </row>
        <row r="159">
          <cell r="D159">
            <v>1193640</v>
          </cell>
        </row>
        <row r="160">
          <cell r="D160">
            <v>1193650</v>
          </cell>
        </row>
        <row r="161">
          <cell r="D161">
            <v>1197480</v>
          </cell>
        </row>
        <row r="162">
          <cell r="D162">
            <v>1208840</v>
          </cell>
        </row>
        <row r="163">
          <cell r="D163">
            <v>1215940</v>
          </cell>
        </row>
        <row r="164">
          <cell r="D164">
            <v>1215960</v>
          </cell>
        </row>
        <row r="165">
          <cell r="D165">
            <v>1215970</v>
          </cell>
        </row>
        <row r="166">
          <cell r="D166">
            <v>1216000</v>
          </cell>
        </row>
        <row r="167">
          <cell r="D167">
            <v>1229140</v>
          </cell>
        </row>
        <row r="168">
          <cell r="D168">
            <v>1229910</v>
          </cell>
        </row>
        <row r="169">
          <cell r="D169">
            <v>1232260</v>
          </cell>
        </row>
        <row r="170">
          <cell r="D170">
            <v>1234800</v>
          </cell>
        </row>
        <row r="171">
          <cell r="D171">
            <v>1235460</v>
          </cell>
        </row>
        <row r="172">
          <cell r="D172">
            <v>1238440</v>
          </cell>
        </row>
        <row r="173">
          <cell r="D173">
            <v>1239410</v>
          </cell>
        </row>
        <row r="174">
          <cell r="D174">
            <v>1241130</v>
          </cell>
        </row>
        <row r="175">
          <cell r="D175">
            <v>1241640</v>
          </cell>
        </row>
        <row r="176">
          <cell r="D176">
            <v>1251580</v>
          </cell>
        </row>
        <row r="177">
          <cell r="D177">
            <v>1251640</v>
          </cell>
        </row>
        <row r="178">
          <cell r="D178">
            <v>1252630</v>
          </cell>
        </row>
        <row r="179">
          <cell r="D179">
            <v>1252650</v>
          </cell>
        </row>
        <row r="180">
          <cell r="D180">
            <v>1257150</v>
          </cell>
        </row>
        <row r="181">
          <cell r="D181">
            <v>1257590</v>
          </cell>
        </row>
        <row r="182">
          <cell r="D182">
            <v>1257810</v>
          </cell>
        </row>
        <row r="183">
          <cell r="D183">
            <v>1262950</v>
          </cell>
        </row>
        <row r="184">
          <cell r="D184">
            <v>1266390</v>
          </cell>
        </row>
        <row r="185">
          <cell r="D185">
            <v>1266890</v>
          </cell>
        </row>
        <row r="186">
          <cell r="D186">
            <v>1268180</v>
          </cell>
        </row>
        <row r="187">
          <cell r="D187">
            <v>1268970</v>
          </cell>
        </row>
        <row r="188">
          <cell r="D188">
            <v>1268980</v>
          </cell>
        </row>
        <row r="189">
          <cell r="D189">
            <v>1269200</v>
          </cell>
        </row>
        <row r="190">
          <cell r="D190">
            <v>1269830</v>
          </cell>
        </row>
        <row r="191">
          <cell r="D191">
            <v>1271980</v>
          </cell>
        </row>
        <row r="192">
          <cell r="D192">
            <v>1273740</v>
          </cell>
        </row>
        <row r="193">
          <cell r="D193">
            <v>1277040</v>
          </cell>
        </row>
        <row r="194">
          <cell r="D194">
            <v>1277450</v>
          </cell>
        </row>
        <row r="195">
          <cell r="D195">
            <v>1280190</v>
          </cell>
        </row>
        <row r="196">
          <cell r="D196">
            <v>1280640</v>
          </cell>
        </row>
        <row r="197">
          <cell r="D197">
            <v>1280680</v>
          </cell>
        </row>
        <row r="198">
          <cell r="D198">
            <v>1280720</v>
          </cell>
        </row>
        <row r="199">
          <cell r="D199">
            <v>1285040</v>
          </cell>
        </row>
        <row r="200">
          <cell r="D200">
            <v>1285050</v>
          </cell>
        </row>
        <row r="201">
          <cell r="D201">
            <v>1290980</v>
          </cell>
        </row>
        <row r="202">
          <cell r="D202">
            <v>1295060</v>
          </cell>
        </row>
        <row r="203">
          <cell r="D203">
            <v>1297540</v>
          </cell>
        </row>
        <row r="204">
          <cell r="D204">
            <v>1298240</v>
          </cell>
        </row>
        <row r="205">
          <cell r="D205">
            <v>1298440</v>
          </cell>
        </row>
        <row r="206">
          <cell r="D206">
            <v>1298810</v>
          </cell>
        </row>
        <row r="207">
          <cell r="D207">
            <v>1299890</v>
          </cell>
        </row>
        <row r="208">
          <cell r="D208">
            <v>1301510</v>
          </cell>
        </row>
        <row r="209">
          <cell r="D209">
            <v>1301520</v>
          </cell>
        </row>
        <row r="210">
          <cell r="D210">
            <v>1301530</v>
          </cell>
        </row>
        <row r="211">
          <cell r="D211">
            <v>1304220</v>
          </cell>
        </row>
        <row r="212">
          <cell r="D212">
            <v>1310960</v>
          </cell>
        </row>
        <row r="213">
          <cell r="D213">
            <v>1312540</v>
          </cell>
        </row>
        <row r="214">
          <cell r="D214">
            <v>1312740</v>
          </cell>
        </row>
        <row r="215">
          <cell r="D215">
            <v>1313940</v>
          </cell>
        </row>
        <row r="216">
          <cell r="D216">
            <v>1317030</v>
          </cell>
        </row>
        <row r="217">
          <cell r="D217">
            <v>1317100</v>
          </cell>
        </row>
        <row r="218">
          <cell r="D218">
            <v>1317430</v>
          </cell>
        </row>
        <row r="219">
          <cell r="D219">
            <v>1317440</v>
          </cell>
        </row>
        <row r="220">
          <cell r="D220">
            <v>1317450</v>
          </cell>
        </row>
        <row r="221">
          <cell r="D221">
            <v>1320590</v>
          </cell>
        </row>
        <row r="222">
          <cell r="D222">
            <v>1322500</v>
          </cell>
        </row>
        <row r="223">
          <cell r="D223">
            <v>1322510</v>
          </cell>
        </row>
        <row r="224">
          <cell r="D224">
            <v>1323300</v>
          </cell>
        </row>
        <row r="225">
          <cell r="D225">
            <v>1327360</v>
          </cell>
        </row>
        <row r="226">
          <cell r="D226">
            <v>1332050</v>
          </cell>
        </row>
        <row r="227">
          <cell r="D227">
            <v>1332060</v>
          </cell>
        </row>
        <row r="228">
          <cell r="D228">
            <v>1332090</v>
          </cell>
        </row>
        <row r="229">
          <cell r="D229">
            <v>1333330</v>
          </cell>
        </row>
        <row r="230">
          <cell r="D230">
            <v>1333440</v>
          </cell>
        </row>
        <row r="231">
          <cell r="D231">
            <v>1333770</v>
          </cell>
        </row>
        <row r="232">
          <cell r="D232">
            <v>1334380</v>
          </cell>
        </row>
        <row r="233">
          <cell r="D233">
            <v>1334920</v>
          </cell>
        </row>
        <row r="234">
          <cell r="D234">
            <v>1337210</v>
          </cell>
        </row>
        <row r="235">
          <cell r="D235">
            <v>1342920</v>
          </cell>
        </row>
        <row r="236">
          <cell r="D236">
            <v>1345220</v>
          </cell>
        </row>
        <row r="237">
          <cell r="D237">
            <v>1345250</v>
          </cell>
        </row>
        <row r="238">
          <cell r="D238">
            <v>1345570</v>
          </cell>
        </row>
        <row r="239">
          <cell r="D239">
            <v>1345910</v>
          </cell>
        </row>
        <row r="240">
          <cell r="D240">
            <v>1346370</v>
          </cell>
        </row>
        <row r="241">
          <cell r="D241">
            <v>1346410</v>
          </cell>
        </row>
        <row r="242">
          <cell r="D242">
            <v>1346520</v>
          </cell>
        </row>
        <row r="243">
          <cell r="D243">
            <v>1346530</v>
          </cell>
        </row>
        <row r="244">
          <cell r="D244">
            <v>1346560</v>
          </cell>
        </row>
        <row r="245">
          <cell r="D245">
            <v>1346570</v>
          </cell>
        </row>
        <row r="246">
          <cell r="D246">
            <v>1346580</v>
          </cell>
        </row>
        <row r="247">
          <cell r="D247">
            <v>1346610</v>
          </cell>
        </row>
        <row r="248">
          <cell r="D248">
            <v>1354800</v>
          </cell>
        </row>
        <row r="249">
          <cell r="D249">
            <v>1355090</v>
          </cell>
        </row>
        <row r="250">
          <cell r="D250">
            <v>1357730</v>
          </cell>
        </row>
        <row r="251">
          <cell r="D251">
            <v>1358350</v>
          </cell>
        </row>
        <row r="252">
          <cell r="D252">
            <v>1359520</v>
          </cell>
        </row>
        <row r="253">
          <cell r="D253">
            <v>1359530</v>
          </cell>
        </row>
        <row r="254">
          <cell r="D254">
            <v>1362000</v>
          </cell>
        </row>
        <row r="255">
          <cell r="D255">
            <v>1362550</v>
          </cell>
        </row>
        <row r="256">
          <cell r="D256">
            <v>1364210</v>
          </cell>
        </row>
        <row r="257">
          <cell r="D257">
            <v>1364500</v>
          </cell>
        </row>
        <row r="258">
          <cell r="D258">
            <v>1366310</v>
          </cell>
        </row>
        <row r="259">
          <cell r="D259">
            <v>1366700</v>
          </cell>
        </row>
        <row r="260">
          <cell r="D260">
            <v>1366710</v>
          </cell>
        </row>
        <row r="261">
          <cell r="D261">
            <v>1371800</v>
          </cell>
        </row>
        <row r="262">
          <cell r="D262">
            <v>1375740</v>
          </cell>
        </row>
        <row r="263">
          <cell r="D263">
            <v>1375750</v>
          </cell>
        </row>
        <row r="264">
          <cell r="D264">
            <v>1375760</v>
          </cell>
        </row>
        <row r="265">
          <cell r="D265">
            <v>1376420</v>
          </cell>
        </row>
        <row r="266">
          <cell r="D266">
            <v>1378020</v>
          </cell>
        </row>
        <row r="267">
          <cell r="D267">
            <v>1378040</v>
          </cell>
        </row>
        <row r="268">
          <cell r="D268">
            <v>1378050</v>
          </cell>
        </row>
        <row r="269">
          <cell r="D269">
            <v>1378090</v>
          </cell>
        </row>
        <row r="270">
          <cell r="D270">
            <v>1378100</v>
          </cell>
        </row>
        <row r="271">
          <cell r="D271">
            <v>1379780</v>
          </cell>
        </row>
        <row r="272">
          <cell r="D272">
            <v>1380120</v>
          </cell>
        </row>
        <row r="273">
          <cell r="D273">
            <v>1386060</v>
          </cell>
        </row>
        <row r="274">
          <cell r="D274">
            <v>1386320</v>
          </cell>
        </row>
        <row r="275">
          <cell r="D275">
            <v>1386390</v>
          </cell>
        </row>
        <row r="276">
          <cell r="D276">
            <v>1388500</v>
          </cell>
        </row>
        <row r="277">
          <cell r="D277">
            <v>1393800</v>
          </cell>
        </row>
        <row r="278">
          <cell r="D278">
            <v>1394150</v>
          </cell>
        </row>
        <row r="279">
          <cell r="D279">
            <v>1394550</v>
          </cell>
        </row>
        <row r="280">
          <cell r="D280">
            <v>1396820</v>
          </cell>
        </row>
        <row r="281">
          <cell r="D281">
            <v>1401870</v>
          </cell>
        </row>
        <row r="282">
          <cell r="D282">
            <v>1411000</v>
          </cell>
        </row>
        <row r="283">
          <cell r="D283">
            <v>1411360</v>
          </cell>
        </row>
        <row r="284">
          <cell r="D284">
            <v>1411370</v>
          </cell>
        </row>
        <row r="285">
          <cell r="D285">
            <v>1411770</v>
          </cell>
        </row>
        <row r="286">
          <cell r="D286">
            <v>1411780</v>
          </cell>
        </row>
        <row r="287">
          <cell r="D287">
            <v>1411790</v>
          </cell>
        </row>
        <row r="288">
          <cell r="D288">
            <v>1411800</v>
          </cell>
        </row>
        <row r="289">
          <cell r="D289">
            <v>1411810</v>
          </cell>
        </row>
        <row r="290">
          <cell r="D290">
            <v>1413480</v>
          </cell>
        </row>
        <row r="291">
          <cell r="D291">
            <v>1413490</v>
          </cell>
        </row>
        <row r="292">
          <cell r="D292">
            <v>1415180</v>
          </cell>
        </row>
        <row r="293">
          <cell r="D293">
            <v>1416940</v>
          </cell>
        </row>
        <row r="294">
          <cell r="D294">
            <v>1417040</v>
          </cell>
        </row>
        <row r="295">
          <cell r="D295">
            <v>1417110</v>
          </cell>
        </row>
        <row r="296">
          <cell r="D296">
            <v>1420840</v>
          </cell>
        </row>
        <row r="297">
          <cell r="D297">
            <v>1423770</v>
          </cell>
        </row>
        <row r="298">
          <cell r="D298">
            <v>1424390</v>
          </cell>
        </row>
        <row r="299">
          <cell r="D299">
            <v>1426110</v>
          </cell>
        </row>
        <row r="300">
          <cell r="D300">
            <v>1426540</v>
          </cell>
        </row>
        <row r="301">
          <cell r="D301">
            <v>1429960</v>
          </cell>
        </row>
        <row r="302">
          <cell r="D302">
            <v>1432090</v>
          </cell>
        </row>
        <row r="303">
          <cell r="D303">
            <v>1433960</v>
          </cell>
        </row>
        <row r="304">
          <cell r="D304">
            <v>1438350</v>
          </cell>
        </row>
        <row r="305">
          <cell r="D305">
            <v>1438650</v>
          </cell>
        </row>
        <row r="306">
          <cell r="D306">
            <v>1438660</v>
          </cell>
        </row>
        <row r="307">
          <cell r="D307">
            <v>1438850</v>
          </cell>
        </row>
        <row r="308">
          <cell r="D308">
            <v>1438860</v>
          </cell>
        </row>
        <row r="309">
          <cell r="D309">
            <v>1438870</v>
          </cell>
        </row>
        <row r="310">
          <cell r="D310">
            <v>1441730</v>
          </cell>
        </row>
        <row r="311">
          <cell r="D311">
            <v>1443770</v>
          </cell>
        </row>
        <row r="312">
          <cell r="D312">
            <v>1445060</v>
          </cell>
        </row>
        <row r="313">
          <cell r="D313">
            <v>1451580</v>
          </cell>
        </row>
        <row r="314">
          <cell r="D314">
            <v>1451790</v>
          </cell>
        </row>
        <row r="315">
          <cell r="D315">
            <v>1451800</v>
          </cell>
        </row>
        <row r="316">
          <cell r="D316">
            <v>1451810</v>
          </cell>
        </row>
        <row r="317">
          <cell r="D317">
            <v>1461130</v>
          </cell>
        </row>
        <row r="318">
          <cell r="D318">
            <v>1462440</v>
          </cell>
        </row>
        <row r="319">
          <cell r="D319">
            <v>1462560</v>
          </cell>
        </row>
        <row r="320">
          <cell r="D320">
            <v>1467440</v>
          </cell>
        </row>
        <row r="321">
          <cell r="D321">
            <v>1470290</v>
          </cell>
        </row>
        <row r="322">
          <cell r="D322">
            <v>1470330</v>
          </cell>
        </row>
        <row r="323">
          <cell r="D323">
            <v>1470340</v>
          </cell>
        </row>
        <row r="324">
          <cell r="D324">
            <v>1470450</v>
          </cell>
        </row>
        <row r="325">
          <cell r="D325">
            <v>1472020</v>
          </cell>
        </row>
        <row r="326">
          <cell r="D326">
            <v>1472290</v>
          </cell>
        </row>
        <row r="327">
          <cell r="D327">
            <v>1473490</v>
          </cell>
        </row>
        <row r="328">
          <cell r="D328">
            <v>1475680</v>
          </cell>
        </row>
        <row r="329">
          <cell r="D329">
            <v>1477750</v>
          </cell>
        </row>
        <row r="330">
          <cell r="D330">
            <v>1477850</v>
          </cell>
        </row>
        <row r="331">
          <cell r="D331">
            <v>1477860</v>
          </cell>
        </row>
        <row r="332">
          <cell r="D332">
            <v>1478800</v>
          </cell>
        </row>
        <row r="333">
          <cell r="D333">
            <v>1479060</v>
          </cell>
        </row>
        <row r="334">
          <cell r="D334">
            <v>1479180</v>
          </cell>
        </row>
        <row r="335">
          <cell r="D335">
            <v>1480150</v>
          </cell>
        </row>
        <row r="336">
          <cell r="D336">
            <v>1480180</v>
          </cell>
        </row>
        <row r="337">
          <cell r="D337">
            <v>1480190</v>
          </cell>
        </row>
        <row r="338">
          <cell r="D338">
            <v>1480200</v>
          </cell>
        </row>
        <row r="339">
          <cell r="D339">
            <v>1480220</v>
          </cell>
        </row>
        <row r="340">
          <cell r="D340">
            <v>1482690</v>
          </cell>
        </row>
        <row r="341">
          <cell r="D341">
            <v>1482700</v>
          </cell>
        </row>
        <row r="342">
          <cell r="D342">
            <v>1482850</v>
          </cell>
        </row>
        <row r="343">
          <cell r="D343">
            <v>1484850</v>
          </cell>
        </row>
        <row r="344">
          <cell r="D344">
            <v>1484870</v>
          </cell>
        </row>
        <row r="345">
          <cell r="D345">
            <v>1491670</v>
          </cell>
        </row>
        <row r="346">
          <cell r="D346">
            <v>1492840</v>
          </cell>
        </row>
        <row r="347">
          <cell r="D347">
            <v>1494650</v>
          </cell>
        </row>
        <row r="348">
          <cell r="D348">
            <v>1494660</v>
          </cell>
        </row>
        <row r="349">
          <cell r="D349">
            <v>1496830</v>
          </cell>
        </row>
        <row r="350">
          <cell r="D350">
            <v>1498670</v>
          </cell>
        </row>
        <row r="351">
          <cell r="D351">
            <v>1498700</v>
          </cell>
        </row>
        <row r="352">
          <cell r="D352">
            <v>1500290</v>
          </cell>
        </row>
        <row r="353">
          <cell r="D353">
            <v>1501130</v>
          </cell>
        </row>
        <row r="354">
          <cell r="D354">
            <v>1505000</v>
          </cell>
        </row>
        <row r="355">
          <cell r="D355">
            <v>1511950</v>
          </cell>
        </row>
        <row r="356">
          <cell r="D356">
            <v>1514580</v>
          </cell>
        </row>
        <row r="357">
          <cell r="D357">
            <v>1515180</v>
          </cell>
        </row>
        <row r="358">
          <cell r="D358">
            <v>1515190</v>
          </cell>
        </row>
        <row r="359">
          <cell r="D359">
            <v>1515950</v>
          </cell>
        </row>
        <row r="360">
          <cell r="D360">
            <v>1515960</v>
          </cell>
        </row>
        <row r="361">
          <cell r="D361">
            <v>1515970</v>
          </cell>
        </row>
        <row r="362">
          <cell r="D362">
            <v>1524590</v>
          </cell>
        </row>
        <row r="363">
          <cell r="D363">
            <v>1528870</v>
          </cell>
        </row>
        <row r="364">
          <cell r="D364">
            <v>1530160</v>
          </cell>
        </row>
        <row r="365">
          <cell r="D365">
            <v>1530170</v>
          </cell>
        </row>
        <row r="366">
          <cell r="D366">
            <v>1530700</v>
          </cell>
        </row>
        <row r="367">
          <cell r="D367">
            <v>1531380</v>
          </cell>
        </row>
        <row r="368">
          <cell r="D368">
            <v>1532860</v>
          </cell>
        </row>
        <row r="369">
          <cell r="D369">
            <v>1532870</v>
          </cell>
        </row>
        <row r="370">
          <cell r="D370">
            <v>1532890</v>
          </cell>
        </row>
        <row r="371">
          <cell r="D371">
            <v>1534250</v>
          </cell>
        </row>
        <row r="372">
          <cell r="D372">
            <v>1535190</v>
          </cell>
        </row>
        <row r="373">
          <cell r="D373">
            <v>1536100</v>
          </cell>
        </row>
        <row r="374">
          <cell r="D374">
            <v>1544490</v>
          </cell>
        </row>
        <row r="375">
          <cell r="D375">
            <v>1544520</v>
          </cell>
        </row>
        <row r="376">
          <cell r="D376">
            <v>1544530</v>
          </cell>
        </row>
        <row r="377">
          <cell r="D377">
            <v>1544620</v>
          </cell>
        </row>
        <row r="378">
          <cell r="D378">
            <v>1545550</v>
          </cell>
        </row>
        <row r="379">
          <cell r="D379">
            <v>1546070</v>
          </cell>
        </row>
        <row r="380">
          <cell r="D380">
            <v>1546510</v>
          </cell>
        </row>
        <row r="381">
          <cell r="D381">
            <v>1549970</v>
          </cell>
        </row>
        <row r="382">
          <cell r="D382">
            <v>1549990</v>
          </cell>
        </row>
        <row r="383">
          <cell r="D383">
            <v>1550010</v>
          </cell>
        </row>
        <row r="384">
          <cell r="D384">
            <v>1550030</v>
          </cell>
        </row>
        <row r="385">
          <cell r="D385">
            <v>1551010</v>
          </cell>
        </row>
        <row r="386">
          <cell r="D386">
            <v>1552290</v>
          </cell>
        </row>
        <row r="387">
          <cell r="D387">
            <v>1553530</v>
          </cell>
        </row>
        <row r="388">
          <cell r="D388">
            <v>1553550</v>
          </cell>
        </row>
        <row r="389">
          <cell r="D389">
            <v>1556240</v>
          </cell>
        </row>
        <row r="390">
          <cell r="D390">
            <v>1556250</v>
          </cell>
        </row>
        <row r="391">
          <cell r="D391">
            <v>1556260</v>
          </cell>
        </row>
        <row r="392">
          <cell r="D392">
            <v>1557360</v>
          </cell>
        </row>
        <row r="393">
          <cell r="D393">
            <v>1557710</v>
          </cell>
        </row>
        <row r="394">
          <cell r="D394">
            <v>1558180</v>
          </cell>
        </row>
        <row r="395">
          <cell r="D395">
            <v>1558270</v>
          </cell>
        </row>
        <row r="396">
          <cell r="D396">
            <v>1561140</v>
          </cell>
        </row>
        <row r="397">
          <cell r="D397">
            <v>1562070</v>
          </cell>
        </row>
        <row r="398">
          <cell r="D398">
            <v>1563230</v>
          </cell>
        </row>
        <row r="399">
          <cell r="D399">
            <v>1563240</v>
          </cell>
        </row>
        <row r="400">
          <cell r="D400">
            <v>1563250</v>
          </cell>
        </row>
        <row r="401">
          <cell r="D401">
            <v>1563260</v>
          </cell>
        </row>
        <row r="402">
          <cell r="D402">
            <v>1567920</v>
          </cell>
        </row>
        <row r="403">
          <cell r="D403">
            <v>1567930</v>
          </cell>
        </row>
        <row r="404">
          <cell r="D404">
            <v>1579020</v>
          </cell>
        </row>
        <row r="405">
          <cell r="D405">
            <v>1580990</v>
          </cell>
        </row>
        <row r="406">
          <cell r="D406">
            <v>1586540</v>
          </cell>
        </row>
        <row r="407">
          <cell r="D407">
            <v>1586540</v>
          </cell>
        </row>
        <row r="408">
          <cell r="D408">
            <v>1591740</v>
          </cell>
        </row>
        <row r="409">
          <cell r="D409">
            <v>1591930</v>
          </cell>
        </row>
        <row r="410">
          <cell r="D410">
            <v>1591940</v>
          </cell>
        </row>
        <row r="411">
          <cell r="D411">
            <v>1591950</v>
          </cell>
        </row>
        <row r="412">
          <cell r="D412">
            <v>1599520</v>
          </cell>
        </row>
        <row r="413">
          <cell r="D413">
            <v>1599550</v>
          </cell>
        </row>
        <row r="414">
          <cell r="D414">
            <v>1602990</v>
          </cell>
        </row>
        <row r="415">
          <cell r="D415">
            <v>1604560</v>
          </cell>
        </row>
        <row r="416">
          <cell r="D416">
            <v>1614640</v>
          </cell>
        </row>
        <row r="417">
          <cell r="D417">
            <v>1617770</v>
          </cell>
        </row>
        <row r="418">
          <cell r="D418">
            <v>1623700</v>
          </cell>
        </row>
        <row r="419">
          <cell r="D419">
            <v>1623820</v>
          </cell>
        </row>
        <row r="420">
          <cell r="D420">
            <v>1623830</v>
          </cell>
        </row>
        <row r="421">
          <cell r="D421">
            <v>1624000</v>
          </cell>
        </row>
        <row r="422">
          <cell r="D422">
            <v>1626070</v>
          </cell>
        </row>
        <row r="423">
          <cell r="D423">
            <v>1626080</v>
          </cell>
        </row>
        <row r="424">
          <cell r="D424">
            <v>1630440</v>
          </cell>
        </row>
        <row r="425">
          <cell r="D425">
            <v>1632620</v>
          </cell>
        </row>
        <row r="426">
          <cell r="D426">
            <v>1636570</v>
          </cell>
        </row>
        <row r="427">
          <cell r="D427">
            <v>1636580</v>
          </cell>
        </row>
        <row r="428">
          <cell r="D428">
            <v>1636590</v>
          </cell>
        </row>
        <row r="429">
          <cell r="D429">
            <v>1637310</v>
          </cell>
        </row>
        <row r="430">
          <cell r="D430">
            <v>1639130</v>
          </cell>
        </row>
        <row r="431">
          <cell r="D431">
            <v>1646670</v>
          </cell>
        </row>
        <row r="432">
          <cell r="D432">
            <v>1652500</v>
          </cell>
        </row>
        <row r="433">
          <cell r="D433">
            <v>1652560</v>
          </cell>
        </row>
        <row r="434">
          <cell r="D434">
            <v>1661130</v>
          </cell>
        </row>
        <row r="435">
          <cell r="D435">
            <v>1664400</v>
          </cell>
        </row>
        <row r="436">
          <cell r="D436">
            <v>1665580</v>
          </cell>
        </row>
        <row r="437">
          <cell r="D437">
            <v>1666510</v>
          </cell>
        </row>
        <row r="438">
          <cell r="D438">
            <v>1666750</v>
          </cell>
        </row>
        <row r="439">
          <cell r="D439">
            <v>1668970</v>
          </cell>
        </row>
        <row r="440">
          <cell r="D440">
            <v>1681210</v>
          </cell>
        </row>
        <row r="441">
          <cell r="D441">
            <v>1683270</v>
          </cell>
        </row>
        <row r="442">
          <cell r="D442">
            <v>1686630</v>
          </cell>
        </row>
        <row r="443">
          <cell r="D443">
            <v>1686840</v>
          </cell>
        </row>
        <row r="444">
          <cell r="D444">
            <v>1686940</v>
          </cell>
        </row>
        <row r="445">
          <cell r="D445">
            <v>1686960</v>
          </cell>
        </row>
        <row r="446">
          <cell r="D446">
            <v>1687720</v>
          </cell>
        </row>
        <row r="447">
          <cell r="D447">
            <v>1690110</v>
          </cell>
        </row>
        <row r="448">
          <cell r="D448">
            <v>1690750</v>
          </cell>
        </row>
        <row r="449">
          <cell r="D449">
            <v>1700260</v>
          </cell>
        </row>
        <row r="450">
          <cell r="D450">
            <v>1703010</v>
          </cell>
        </row>
        <row r="451">
          <cell r="D451">
            <v>1705220</v>
          </cell>
        </row>
        <row r="452">
          <cell r="D452">
            <v>1705370</v>
          </cell>
        </row>
        <row r="453">
          <cell r="D453">
            <v>1710510</v>
          </cell>
        </row>
        <row r="454">
          <cell r="D454">
            <v>1710520</v>
          </cell>
        </row>
        <row r="455">
          <cell r="D455">
            <v>1711010</v>
          </cell>
        </row>
        <row r="456">
          <cell r="D456">
            <v>1711320</v>
          </cell>
        </row>
        <row r="457">
          <cell r="D457">
            <v>1713260</v>
          </cell>
        </row>
        <row r="458">
          <cell r="D458">
            <v>1714220</v>
          </cell>
        </row>
        <row r="459">
          <cell r="D459">
            <v>1714240</v>
          </cell>
        </row>
        <row r="460">
          <cell r="D460">
            <v>1714250</v>
          </cell>
        </row>
        <row r="461">
          <cell r="D461">
            <v>1742260</v>
          </cell>
        </row>
        <row r="462">
          <cell r="D462">
            <v>1745260</v>
          </cell>
        </row>
        <row r="463">
          <cell r="D463">
            <v>1746720</v>
          </cell>
        </row>
        <row r="464">
          <cell r="D464">
            <v>1748770</v>
          </cell>
        </row>
        <row r="465">
          <cell r="D465">
            <v>1781210</v>
          </cell>
        </row>
        <row r="466">
          <cell r="D466">
            <v>1781220</v>
          </cell>
        </row>
        <row r="467">
          <cell r="D467">
            <v>1783090</v>
          </cell>
        </row>
        <row r="468">
          <cell r="D468">
            <v>1799680</v>
          </cell>
        </row>
        <row r="469">
          <cell r="D469">
            <v>1820820</v>
          </cell>
        </row>
        <row r="470">
          <cell r="D470">
            <v>1820830</v>
          </cell>
        </row>
        <row r="471">
          <cell r="D471">
            <v>1823320</v>
          </cell>
        </row>
        <row r="472">
          <cell r="D472">
            <v>1825290</v>
          </cell>
        </row>
        <row r="473">
          <cell r="D473">
            <v>1831430</v>
          </cell>
        </row>
        <row r="474">
          <cell r="D474">
            <v>1834270</v>
          </cell>
        </row>
        <row r="475">
          <cell r="D475">
            <v>1840020</v>
          </cell>
        </row>
        <row r="476">
          <cell r="D476">
            <v>1840030</v>
          </cell>
        </row>
        <row r="477">
          <cell r="D477">
            <v>1840260</v>
          </cell>
        </row>
        <row r="478">
          <cell r="D478">
            <v>1940580</v>
          </cell>
        </row>
        <row r="479">
          <cell r="D479">
            <v>1941490</v>
          </cell>
        </row>
        <row r="480">
          <cell r="D480">
            <v>1991330</v>
          </cell>
        </row>
        <row r="481">
          <cell r="D481">
            <v>2019460</v>
          </cell>
        </row>
        <row r="482">
          <cell r="D482">
            <v>2019480</v>
          </cell>
        </row>
        <row r="483">
          <cell r="D483">
            <v>2019840</v>
          </cell>
        </row>
        <row r="484">
          <cell r="D484">
            <v>2169180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17"/>
  <sheetViews>
    <sheetView tabSelected="1" topLeftCell="L1" zoomScale="70" zoomScaleNormal="70" workbookViewId="0">
      <selection activeCell="Y56" sqref="Y56"/>
    </sheetView>
  </sheetViews>
  <sheetFormatPr defaultColWidth="8.77734375" defaultRowHeight="14.4"/>
  <cols>
    <col min="1" max="1" width="32.109375" bestFit="1" customWidth="1"/>
    <col min="2" max="2" width="10.5546875" bestFit="1" customWidth="1"/>
    <col min="3" max="3" width="9" bestFit="1" customWidth="1"/>
    <col min="4" max="4" width="72.109375" bestFit="1" customWidth="1"/>
    <col min="5" max="5" width="5.33203125" bestFit="1" customWidth="1"/>
    <col min="6" max="6" width="4.44140625" bestFit="1" customWidth="1"/>
    <col min="7" max="7" width="9.77734375" bestFit="1" customWidth="1"/>
    <col min="8" max="8" width="12.5546875" bestFit="1" customWidth="1"/>
    <col min="9" max="9" width="13.77734375" bestFit="1" customWidth="1"/>
    <col min="10" max="10" width="12.77734375" bestFit="1" customWidth="1"/>
    <col min="11" max="11" width="9.77734375" bestFit="1" customWidth="1"/>
    <col min="12" max="12" width="7.5546875" bestFit="1" customWidth="1"/>
    <col min="13" max="13" width="5.88671875" bestFit="1" customWidth="1"/>
    <col min="14" max="14" width="12.88671875" bestFit="1" customWidth="1"/>
    <col min="15" max="15" width="17.88671875" bestFit="1" customWidth="1"/>
    <col min="16" max="16" width="10.109375" bestFit="1" customWidth="1"/>
    <col min="17" max="17" width="11.21875" customWidth="1"/>
    <col min="18" max="18" width="8.6640625" bestFit="1" customWidth="1"/>
    <col min="19" max="19" width="7.21875" bestFit="1" customWidth="1"/>
    <col min="20" max="20" width="8.6640625" bestFit="1" customWidth="1"/>
    <col min="21" max="21" width="9.77734375" style="1" bestFit="1" customWidth="1"/>
    <col min="22" max="22" width="7.5546875" style="1" bestFit="1" customWidth="1"/>
    <col min="23" max="23" width="15.21875" style="1" bestFit="1" customWidth="1"/>
    <col min="24" max="24" width="44.44140625" bestFit="1" customWidth="1"/>
    <col min="25" max="25" width="94.77734375" bestFit="1" customWidth="1"/>
    <col min="26" max="26" width="16.6640625" bestFit="1" customWidth="1"/>
    <col min="27" max="29" width="9" bestFit="1" customWidth="1"/>
  </cols>
  <sheetData>
    <row r="1" spans="1:29" ht="15.6">
      <c r="A1" s="2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3"/>
      <c r="Q1" s="3"/>
      <c r="R1" s="3"/>
      <c r="S1" s="20"/>
      <c r="T1" s="4"/>
      <c r="U1" s="44"/>
      <c r="V1" s="44"/>
      <c r="W1" s="44"/>
      <c r="X1" s="3"/>
      <c r="Y1" s="21"/>
      <c r="Z1" s="45"/>
    </row>
    <row r="2" spans="1:29" ht="15.6">
      <c r="A2" s="2" t="s">
        <v>1</v>
      </c>
      <c r="B2" s="2"/>
      <c r="C2" s="3"/>
      <c r="D2" s="3"/>
      <c r="E2" s="3"/>
      <c r="F2" s="3"/>
      <c r="G2" s="3"/>
      <c r="H2" s="4"/>
      <c r="I2" s="4"/>
      <c r="J2" s="3"/>
      <c r="K2" s="3"/>
      <c r="L2" s="3"/>
      <c r="M2" s="20"/>
      <c r="N2" s="4"/>
      <c r="O2" s="3"/>
      <c r="P2" s="21"/>
      <c r="Q2" s="45"/>
      <c r="R2" s="46"/>
      <c r="S2" s="47"/>
      <c r="T2" s="47"/>
      <c r="U2" s="48"/>
      <c r="V2" s="48"/>
      <c r="W2" s="48"/>
      <c r="X2" s="47"/>
      <c r="Y2" s="47"/>
      <c r="Z2" s="47"/>
    </row>
    <row r="3" spans="1:29" ht="15.6">
      <c r="A3" s="2" t="s">
        <v>2</v>
      </c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  <c r="O3" s="4"/>
      <c r="P3" s="3"/>
      <c r="Q3" s="3"/>
      <c r="R3" s="3"/>
      <c r="S3" s="20"/>
      <c r="T3" s="4"/>
      <c r="U3" s="44"/>
      <c r="V3" s="44"/>
      <c r="W3" s="44"/>
      <c r="X3" s="3"/>
      <c r="Y3" s="21"/>
      <c r="Z3" s="45"/>
    </row>
    <row r="4" spans="1:29" ht="15.6">
      <c r="A4" s="5"/>
      <c r="B4" s="5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4"/>
      <c r="O4" s="4"/>
      <c r="P4" s="3"/>
      <c r="Q4" s="3"/>
      <c r="R4" s="3"/>
      <c r="S4" s="20"/>
      <c r="T4" s="4"/>
      <c r="U4" s="44"/>
      <c r="V4" s="44"/>
      <c r="W4" s="44"/>
      <c r="X4" s="3"/>
      <c r="Y4" s="21"/>
      <c r="Z4" s="45"/>
    </row>
    <row r="5" spans="1:29" ht="15.45" customHeight="1">
      <c r="A5" s="86" t="s">
        <v>3</v>
      </c>
      <c r="B5" s="94" t="s">
        <v>4</v>
      </c>
      <c r="C5" s="95"/>
      <c r="D5" s="89" t="s">
        <v>5</v>
      </c>
      <c r="E5" s="98" t="s">
        <v>6</v>
      </c>
      <c r="F5" s="99"/>
      <c r="G5" s="6" t="s">
        <v>7</v>
      </c>
      <c r="H5" s="7"/>
      <c r="I5" s="7"/>
      <c r="J5" s="7"/>
      <c r="K5" s="22"/>
      <c r="L5" s="23" t="s">
        <v>8</v>
      </c>
      <c r="M5" s="24"/>
      <c r="N5" s="104" t="s">
        <v>9</v>
      </c>
      <c r="O5" s="105"/>
      <c r="P5" s="105"/>
      <c r="Q5" s="106"/>
      <c r="R5" s="104" t="s">
        <v>10</v>
      </c>
      <c r="S5" s="105"/>
      <c r="T5" s="105"/>
      <c r="U5" s="105"/>
      <c r="V5" s="79" t="s">
        <v>11</v>
      </c>
      <c r="W5" s="79" t="s">
        <v>12</v>
      </c>
      <c r="X5" s="80" t="s">
        <v>13</v>
      </c>
      <c r="Y5" s="83" t="s">
        <v>14</v>
      </c>
      <c r="Z5" s="83" t="s">
        <v>15</v>
      </c>
    </row>
    <row r="6" spans="1:29" ht="15.45" customHeight="1">
      <c r="A6" s="87"/>
      <c r="B6" s="96"/>
      <c r="C6" s="97"/>
      <c r="D6" s="91"/>
      <c r="E6" s="100"/>
      <c r="F6" s="101"/>
      <c r="G6" s="8"/>
      <c r="H6" s="9"/>
      <c r="I6" s="25"/>
      <c r="J6" s="9"/>
      <c r="K6" s="26"/>
      <c r="L6" s="27" t="s">
        <v>16</v>
      </c>
      <c r="M6" s="28"/>
      <c r="N6" s="107"/>
      <c r="O6" s="108"/>
      <c r="P6" s="108"/>
      <c r="Q6" s="109"/>
      <c r="R6" s="107"/>
      <c r="S6" s="108"/>
      <c r="T6" s="108"/>
      <c r="U6" s="108"/>
      <c r="V6" s="79"/>
      <c r="W6" s="79"/>
      <c r="X6" s="81"/>
      <c r="Y6" s="84"/>
      <c r="Z6" s="84"/>
    </row>
    <row r="7" spans="1:29" ht="31.05" customHeight="1">
      <c r="A7" s="87"/>
      <c r="B7" s="86" t="s">
        <v>17</v>
      </c>
      <c r="C7" s="89" t="s">
        <v>18</v>
      </c>
      <c r="D7" s="91"/>
      <c r="E7" s="100"/>
      <c r="F7" s="101"/>
      <c r="G7" s="8" t="s">
        <v>19</v>
      </c>
      <c r="H7" s="9" t="s">
        <v>20</v>
      </c>
      <c r="I7" s="25" t="s">
        <v>21</v>
      </c>
      <c r="J7" s="29" t="s">
        <v>22</v>
      </c>
      <c r="K7" s="30"/>
      <c r="L7" s="10" t="s">
        <v>23</v>
      </c>
      <c r="M7" s="10" t="s">
        <v>24</v>
      </c>
      <c r="N7" s="31" t="s">
        <v>25</v>
      </c>
      <c r="O7" s="31" t="s">
        <v>26</v>
      </c>
      <c r="P7" s="25" t="s">
        <v>27</v>
      </c>
      <c r="Q7" s="9" t="s">
        <v>28</v>
      </c>
      <c r="R7" s="31" t="s">
        <v>29</v>
      </c>
      <c r="S7" s="31" t="s">
        <v>29</v>
      </c>
      <c r="T7" s="49" t="s">
        <v>30</v>
      </c>
      <c r="U7" s="92" t="s">
        <v>31</v>
      </c>
      <c r="V7" s="79"/>
      <c r="W7" s="79"/>
      <c r="X7" s="81"/>
      <c r="Y7" s="84"/>
      <c r="Z7" s="84"/>
    </row>
    <row r="8" spans="1:29" ht="31.2">
      <c r="A8" s="88"/>
      <c r="B8" s="88"/>
      <c r="C8" s="90"/>
      <c r="D8" s="90"/>
      <c r="E8" s="102"/>
      <c r="F8" s="103"/>
      <c r="G8" s="8" t="s">
        <v>32</v>
      </c>
      <c r="H8" s="9" t="s">
        <v>33</v>
      </c>
      <c r="I8" s="25" t="s">
        <v>34</v>
      </c>
      <c r="J8" s="9" t="s">
        <v>35</v>
      </c>
      <c r="K8" s="9" t="s">
        <v>36</v>
      </c>
      <c r="L8" s="8" t="s">
        <v>37</v>
      </c>
      <c r="M8" s="8" t="s">
        <v>34</v>
      </c>
      <c r="N8" s="31" t="s">
        <v>33</v>
      </c>
      <c r="O8" s="31" t="s">
        <v>33</v>
      </c>
      <c r="P8" s="25" t="s">
        <v>34</v>
      </c>
      <c r="Q8" s="76" t="s">
        <v>38</v>
      </c>
      <c r="R8" s="77" t="s">
        <v>39</v>
      </c>
      <c r="S8" s="77" t="s">
        <v>40</v>
      </c>
      <c r="T8" s="78" t="s">
        <v>29</v>
      </c>
      <c r="U8" s="93"/>
      <c r="V8" s="79"/>
      <c r="W8" s="79"/>
      <c r="X8" s="82"/>
      <c r="Y8" s="85"/>
      <c r="Z8" s="85"/>
    </row>
    <row r="9" spans="1:29">
      <c r="A9" s="11" t="s">
        <v>41</v>
      </c>
      <c r="B9" s="12"/>
      <c r="C9" s="12"/>
      <c r="D9" s="12"/>
      <c r="E9" s="12"/>
      <c r="F9" s="12"/>
      <c r="G9" s="13"/>
      <c r="H9" s="13"/>
      <c r="I9" s="13"/>
      <c r="J9" s="13"/>
      <c r="K9" s="13"/>
      <c r="L9" s="13"/>
      <c r="M9" s="13"/>
      <c r="N9" s="12"/>
      <c r="O9" s="12"/>
      <c r="P9" s="12"/>
      <c r="Q9" s="12"/>
      <c r="R9" s="12"/>
      <c r="S9" s="12"/>
      <c r="T9" s="12"/>
      <c r="U9" s="50"/>
      <c r="V9" s="50"/>
      <c r="W9" s="50"/>
      <c r="X9" s="12"/>
      <c r="Y9" s="59"/>
      <c r="Z9" s="60"/>
      <c r="AA9" t="s">
        <v>42</v>
      </c>
      <c r="AB9" t="s">
        <v>43</v>
      </c>
      <c r="AC9" t="s">
        <v>44</v>
      </c>
    </row>
    <row r="10" spans="1:29" ht="15.6">
      <c r="A10" s="14">
        <v>1</v>
      </c>
      <c r="B10" s="15">
        <v>20032058</v>
      </c>
      <c r="C10" s="16">
        <v>1268980</v>
      </c>
      <c r="D10" s="73" t="s">
        <v>45</v>
      </c>
      <c r="E10" s="16" t="s">
        <v>46</v>
      </c>
      <c r="F10" s="17">
        <v>20</v>
      </c>
      <c r="G10" s="18">
        <v>640</v>
      </c>
      <c r="H10" s="18">
        <f t="shared" ref="H10:H12" si="0">G10*1.11</f>
        <v>710.40000000000009</v>
      </c>
      <c r="I10" s="32">
        <f>(J10-H10)/J10</f>
        <v>0.2319999999999999</v>
      </c>
      <c r="J10" s="33">
        <f>K10/F10</f>
        <v>925</v>
      </c>
      <c r="K10" s="34">
        <v>18500</v>
      </c>
      <c r="L10" s="35"/>
      <c r="M10" s="36"/>
      <c r="N10" s="37">
        <v>7162.15</v>
      </c>
      <c r="O10" s="37">
        <v>7949.9865</v>
      </c>
      <c r="P10" s="38">
        <f>(Q10-O10)/O10</f>
        <v>2.2014314112357301E-2</v>
      </c>
      <c r="Q10" s="33">
        <v>8125</v>
      </c>
      <c r="R10" s="34"/>
      <c r="S10" s="51"/>
      <c r="T10" s="36" t="s">
        <v>47</v>
      </c>
      <c r="U10" s="52">
        <f>Q10-R10-(S10)</f>
        <v>8125</v>
      </c>
      <c r="V10" s="53">
        <v>3000</v>
      </c>
      <c r="W10" s="54" t="s">
        <v>48</v>
      </c>
      <c r="X10" s="55" t="s">
        <v>49</v>
      </c>
      <c r="Y10" s="61" t="s">
        <v>50</v>
      </c>
      <c r="Z10" s="62"/>
      <c r="AA10">
        <f>VLOOKUP(C10,[1]Sheet1!$A$3:$A$141,1,0)</f>
        <v>1268980</v>
      </c>
      <c r="AB10">
        <f>VLOOKUP(C10,[2]Sheet1!$A$2:$A$556,1,0)</f>
        <v>1268980</v>
      </c>
      <c r="AC10">
        <f>VLOOKUP(C10,[3]MASTER!$D$2:$D$484,1,0)</f>
        <v>1268980</v>
      </c>
    </row>
    <row r="11" spans="1:29" ht="15.6">
      <c r="A11" s="14"/>
      <c r="B11" s="15">
        <v>10015124</v>
      </c>
      <c r="C11" s="16">
        <v>431360</v>
      </c>
      <c r="D11" s="73" t="s">
        <v>51</v>
      </c>
      <c r="E11" s="16" t="s">
        <v>46</v>
      </c>
      <c r="F11" s="17">
        <v>20</v>
      </c>
      <c r="G11" s="18">
        <v>691</v>
      </c>
      <c r="H11" s="18">
        <f t="shared" si="0"/>
        <v>767.0100000000001</v>
      </c>
      <c r="I11" s="32">
        <f>(J11-H11)/J11</f>
        <v>0.21332307692307681</v>
      </c>
      <c r="J11" s="33">
        <f>K11/F11</f>
        <v>975</v>
      </c>
      <c r="K11" s="34">
        <v>19500</v>
      </c>
      <c r="L11" s="35"/>
      <c r="M11" s="36"/>
      <c r="N11" s="37">
        <v>7162.15</v>
      </c>
      <c r="O11" s="37">
        <v>7949.9865</v>
      </c>
      <c r="P11" s="38">
        <f>(Q11-O11)/O11</f>
        <v>2.2014314112357301E-2</v>
      </c>
      <c r="Q11" s="33">
        <v>8125</v>
      </c>
      <c r="R11" s="34"/>
      <c r="S11" s="51"/>
      <c r="T11" s="36" t="s">
        <v>47</v>
      </c>
      <c r="U11" s="52">
        <f t="shared" ref="U11:U14" si="1">Q11-R11</f>
        <v>8125</v>
      </c>
      <c r="V11" s="53">
        <v>3000</v>
      </c>
      <c r="W11" s="54" t="s">
        <v>48</v>
      </c>
      <c r="X11" s="55" t="s">
        <v>49</v>
      </c>
      <c r="Y11" s="61" t="s">
        <v>50</v>
      </c>
      <c r="Z11" s="62"/>
      <c r="AA11">
        <f>VLOOKUP(C11,[1]Sheet1!$A$3:$A$141,1,0)</f>
        <v>431360</v>
      </c>
      <c r="AB11">
        <f>VLOOKUP(C11,[2]Sheet1!$A$2:$A$556,1,0)</f>
        <v>431360</v>
      </c>
      <c r="AC11">
        <f>VLOOKUP(C11,[3]MASTER!$D$2:$D$484,1,0)</f>
        <v>431360</v>
      </c>
    </row>
    <row r="12" spans="1:29" ht="15.6">
      <c r="A12" s="14">
        <v>2</v>
      </c>
      <c r="B12" s="15">
        <v>10000019</v>
      </c>
      <c r="C12" s="16">
        <v>390</v>
      </c>
      <c r="D12" s="73" t="s">
        <v>52</v>
      </c>
      <c r="E12" s="16" t="s">
        <v>46</v>
      </c>
      <c r="F12" s="17">
        <v>48</v>
      </c>
      <c r="G12" s="18">
        <v>670</v>
      </c>
      <c r="H12" s="18">
        <f t="shared" si="0"/>
        <v>743.7</v>
      </c>
      <c r="I12" s="32">
        <f>(J12-H12)/J12</f>
        <v>-0.82130612244897983</v>
      </c>
      <c r="J12" s="33">
        <f t="shared" ref="J12:J31" si="2">K12/F12</f>
        <v>408.33333333333331</v>
      </c>
      <c r="K12" s="34">
        <v>19600</v>
      </c>
      <c r="L12" s="35"/>
      <c r="M12" s="36"/>
      <c r="N12" s="37">
        <v>9420.6</v>
      </c>
      <c r="O12" s="37">
        <v>10456.866</v>
      </c>
      <c r="P12" s="38">
        <v>4.28497940503431</v>
      </c>
      <c r="Q12" s="33">
        <v>10925</v>
      </c>
      <c r="R12" s="34">
        <v>200</v>
      </c>
      <c r="S12" s="51"/>
      <c r="T12" s="36" t="s">
        <v>47</v>
      </c>
      <c r="U12" s="52">
        <f t="shared" si="1"/>
        <v>10725</v>
      </c>
      <c r="V12" s="53"/>
      <c r="W12" s="54"/>
      <c r="X12" s="55" t="s">
        <v>49</v>
      </c>
      <c r="Y12" s="61" t="s">
        <v>53</v>
      </c>
      <c r="Z12" s="62"/>
      <c r="AA12" t="e">
        <f>VLOOKUP(C12,[1]Sheet1!$A$3:$A$141,1,0)</f>
        <v>#N/A</v>
      </c>
      <c r="AB12">
        <f>VLOOKUP(C12,[2]Sheet1!$A$2:$A$556,1,0)</f>
        <v>390</v>
      </c>
      <c r="AC12">
        <f>VLOOKUP(C12,[3]MASTER!$D$2:$D$484,1,0)</f>
        <v>390</v>
      </c>
    </row>
    <row r="13" spans="1:29" ht="15.6">
      <c r="A13" s="14"/>
      <c r="B13" s="15">
        <v>10000020</v>
      </c>
      <c r="C13" s="16">
        <v>400</v>
      </c>
      <c r="D13" s="73" t="s">
        <v>54</v>
      </c>
      <c r="E13" s="16" t="s">
        <v>46</v>
      </c>
      <c r="F13" s="17">
        <v>48</v>
      </c>
      <c r="G13" s="18">
        <v>697</v>
      </c>
      <c r="H13" s="18">
        <v>697</v>
      </c>
      <c r="I13" s="32">
        <f>(J13-H13)/J13</f>
        <v>-0.75162303664921459</v>
      </c>
      <c r="J13" s="33">
        <f t="shared" si="2"/>
        <v>397.91666666666669</v>
      </c>
      <c r="K13" s="34">
        <v>19100</v>
      </c>
      <c r="L13" s="35"/>
      <c r="M13" s="36"/>
      <c r="N13" s="37">
        <v>9420.6</v>
      </c>
      <c r="O13" s="37">
        <v>10456.866</v>
      </c>
      <c r="P13" s="38">
        <v>4.28497940503431</v>
      </c>
      <c r="Q13" s="33">
        <v>10925</v>
      </c>
      <c r="R13" s="34">
        <v>200</v>
      </c>
      <c r="S13" s="51"/>
      <c r="T13" s="36" t="s">
        <v>47</v>
      </c>
      <c r="U13" s="52">
        <f t="shared" si="1"/>
        <v>10725</v>
      </c>
      <c r="V13" s="53"/>
      <c r="W13" s="54"/>
      <c r="X13" s="55" t="s">
        <v>49</v>
      </c>
      <c r="Y13" s="61" t="s">
        <v>53</v>
      </c>
      <c r="Z13" s="62"/>
      <c r="AA13" t="e">
        <f>VLOOKUP(C13,[1]Sheet1!$A$3:$A$141,1,0)</f>
        <v>#N/A</v>
      </c>
      <c r="AB13">
        <f>VLOOKUP(C13,[2]Sheet1!$A$2:$A$556,1,0)</f>
        <v>400</v>
      </c>
      <c r="AC13">
        <f>VLOOKUP(C13,[3]MASTER!$D$2:$D$484,1,0)</f>
        <v>400</v>
      </c>
    </row>
    <row r="14" spans="1:29" ht="15.6">
      <c r="A14" s="14">
        <v>3</v>
      </c>
      <c r="B14" s="15">
        <v>20013435</v>
      </c>
      <c r="C14" s="16">
        <v>1117090</v>
      </c>
      <c r="D14" s="73" t="s">
        <v>55</v>
      </c>
      <c r="E14" s="16" t="s">
        <v>46</v>
      </c>
      <c r="F14" s="17">
        <v>20</v>
      </c>
      <c r="G14" s="18">
        <v>701</v>
      </c>
      <c r="H14" s="18">
        <f t="shared" ref="H14:H31" si="3">G14*1.11</f>
        <v>778.11</v>
      </c>
      <c r="I14" s="32">
        <f>(J14-H14)/J14</f>
        <v>0.23338916256157635</v>
      </c>
      <c r="J14" s="33">
        <f t="shared" si="2"/>
        <v>1015</v>
      </c>
      <c r="K14" s="34">
        <v>20300</v>
      </c>
      <c r="L14" s="35"/>
      <c r="M14" s="36"/>
      <c r="N14" s="37">
        <v>6217.61</v>
      </c>
      <c r="O14" s="37">
        <v>6901.5470999999998</v>
      </c>
      <c r="P14" s="39">
        <v>3.4748657342657201</v>
      </c>
      <c r="Q14" s="56">
        <v>7150</v>
      </c>
      <c r="R14" s="34">
        <v>150</v>
      </c>
      <c r="S14" s="51"/>
      <c r="T14" s="36" t="s">
        <v>47</v>
      </c>
      <c r="U14" s="52">
        <f t="shared" si="1"/>
        <v>7000</v>
      </c>
      <c r="V14" s="53">
        <v>2000</v>
      </c>
      <c r="W14" s="54" t="s">
        <v>56</v>
      </c>
      <c r="X14" s="55" t="s">
        <v>49</v>
      </c>
      <c r="Y14" s="61" t="s">
        <v>57</v>
      </c>
      <c r="Z14" s="62"/>
      <c r="AA14" t="e">
        <f>VLOOKUP(C14,[1]Sheet1!$A$3:$A$141,1,0)</f>
        <v>#N/A</v>
      </c>
      <c r="AB14" t="e">
        <f>VLOOKUP(C14,[2]Sheet1!$A$2:$A$556,1,0)</f>
        <v>#N/A</v>
      </c>
      <c r="AC14" t="e">
        <f>VLOOKUP(C14,[3]MASTER!$D$2:$D$484,1,0)</f>
        <v>#N/A</v>
      </c>
    </row>
    <row r="15" spans="1:29" ht="15.6">
      <c r="A15" s="14">
        <v>4</v>
      </c>
      <c r="B15" s="15" t="s">
        <v>58</v>
      </c>
      <c r="C15" s="16">
        <v>454160</v>
      </c>
      <c r="D15" s="73" t="s">
        <v>59</v>
      </c>
      <c r="E15" s="16" t="s">
        <v>46</v>
      </c>
      <c r="F15" s="17">
        <v>24</v>
      </c>
      <c r="G15" s="18">
        <f>76529.7936/1.11/24</f>
        <v>2872.74</v>
      </c>
      <c r="H15" s="18">
        <f t="shared" si="3"/>
        <v>3188.7413999999999</v>
      </c>
      <c r="I15" s="32">
        <f t="shared" ref="I15:I18" si="4">IFERROR((J15-H15)/J15,0)</f>
        <v>6.2134882352941213E-2</v>
      </c>
      <c r="J15" s="33">
        <v>3400</v>
      </c>
      <c r="K15" s="34">
        <v>80200</v>
      </c>
      <c r="L15" s="35"/>
      <c r="M15" s="36"/>
      <c r="N15" s="37">
        <f>G15*F15</f>
        <v>68945.759999999995</v>
      </c>
      <c r="O15" s="37">
        <f t="shared" ref="O15:O31" si="5">N15*1.11</f>
        <v>76529.793600000005</v>
      </c>
      <c r="P15" s="38">
        <f t="shared" ref="P15:P40" si="6">(Q15-O15)/O15</f>
        <v>4.7957876630154606E-2</v>
      </c>
      <c r="Q15" s="33">
        <v>80200</v>
      </c>
      <c r="R15" s="34">
        <v>6700</v>
      </c>
      <c r="S15" s="51"/>
      <c r="T15" s="36" t="s">
        <v>46</v>
      </c>
      <c r="U15" s="52">
        <f t="shared" ref="U15:U38" si="7">Q15-R15-(S15)</f>
        <v>73500</v>
      </c>
      <c r="V15" s="53">
        <v>3000</v>
      </c>
      <c r="W15" s="54" t="s">
        <v>48</v>
      </c>
      <c r="X15" s="55" t="s">
        <v>60</v>
      </c>
      <c r="Y15" s="61" t="s">
        <v>61</v>
      </c>
      <c r="Z15" s="62"/>
      <c r="AA15">
        <f>VLOOKUP(C15,[1]Sheet1!$A$3:$A$141,1,0)</f>
        <v>454160</v>
      </c>
      <c r="AB15">
        <f>VLOOKUP(C15,[2]Sheet1!$A$2:$A$556,1,0)</f>
        <v>454160</v>
      </c>
      <c r="AC15">
        <f>VLOOKUP(C15,[3]MASTER!$D$2:$D$484,1,0)</f>
        <v>454160</v>
      </c>
    </row>
    <row r="16" spans="1:29" ht="15.6">
      <c r="A16" s="14"/>
      <c r="B16" s="15" t="s">
        <v>58</v>
      </c>
      <c r="C16" s="16">
        <v>454160</v>
      </c>
      <c r="D16" s="73" t="s">
        <v>59</v>
      </c>
      <c r="E16" s="16" t="s">
        <v>46</v>
      </c>
      <c r="F16" s="17">
        <v>24</v>
      </c>
      <c r="G16" s="18">
        <f>76529.7936/1.11/24</f>
        <v>2872.74</v>
      </c>
      <c r="H16" s="18">
        <f t="shared" si="3"/>
        <v>3188.7413999999999</v>
      </c>
      <c r="I16" s="32">
        <f t="shared" si="4"/>
        <v>6.2134882352941213E-2</v>
      </c>
      <c r="J16" s="33">
        <v>3400</v>
      </c>
      <c r="K16" s="34">
        <v>80200</v>
      </c>
      <c r="L16" s="35"/>
      <c r="M16" s="36"/>
      <c r="N16" s="37">
        <f>G16*F16</f>
        <v>68945.759999999995</v>
      </c>
      <c r="O16" s="37">
        <f t="shared" si="5"/>
        <v>76529.793600000005</v>
      </c>
      <c r="P16" s="38">
        <f t="shared" si="6"/>
        <v>4.7957876630154606E-2</v>
      </c>
      <c r="Q16" s="33">
        <v>80200</v>
      </c>
      <c r="R16" s="34">
        <v>6200</v>
      </c>
      <c r="S16" s="51"/>
      <c r="T16" s="36" t="s">
        <v>46</v>
      </c>
      <c r="U16" s="52">
        <f t="shared" si="7"/>
        <v>74000</v>
      </c>
      <c r="V16" s="53">
        <v>3000</v>
      </c>
      <c r="W16" s="54" t="s">
        <v>48</v>
      </c>
      <c r="X16" s="55" t="s">
        <v>62</v>
      </c>
      <c r="Y16" s="61" t="s">
        <v>61</v>
      </c>
      <c r="Z16" s="62"/>
      <c r="AA16">
        <f>VLOOKUP(C16,[1]Sheet1!$A$3:$A$141,1,0)</f>
        <v>454160</v>
      </c>
      <c r="AB16">
        <f>VLOOKUP(C16,[2]Sheet1!$A$2:$A$556,1,0)</f>
        <v>454160</v>
      </c>
      <c r="AC16">
        <f>VLOOKUP(C16,[3]MASTER!$D$2:$D$484,1,0)</f>
        <v>454160</v>
      </c>
    </row>
    <row r="17" spans="1:29" ht="15.6">
      <c r="A17" s="14">
        <v>5</v>
      </c>
      <c r="B17" s="15">
        <v>10007380</v>
      </c>
      <c r="C17" s="16">
        <v>451980</v>
      </c>
      <c r="D17" s="73" t="s">
        <v>63</v>
      </c>
      <c r="E17" s="16" t="s">
        <v>46</v>
      </c>
      <c r="F17" s="17">
        <v>24</v>
      </c>
      <c r="G17" s="18">
        <f t="shared" ref="G17:G31" si="8">N17/F17</f>
        <v>4137.791666666667</v>
      </c>
      <c r="H17" s="18">
        <f t="shared" si="3"/>
        <v>4592.9487500000005</v>
      </c>
      <c r="I17" s="32">
        <f t="shared" si="4"/>
        <v>4.5621038961038862E-2</v>
      </c>
      <c r="J17" s="33">
        <f t="shared" si="2"/>
        <v>4812.5</v>
      </c>
      <c r="K17" s="34">
        <v>115500</v>
      </c>
      <c r="L17" s="35"/>
      <c r="M17" s="36"/>
      <c r="N17" s="37">
        <v>99307</v>
      </c>
      <c r="O17" s="37">
        <f t="shared" si="5"/>
        <v>110230.77</v>
      </c>
      <c r="P17" s="38">
        <f t="shared" si="6"/>
        <v>4.7801807063490492E-2</v>
      </c>
      <c r="Q17" s="33">
        <v>115500</v>
      </c>
      <c r="R17" s="34">
        <v>9500</v>
      </c>
      <c r="S17" s="51"/>
      <c r="T17" s="36" t="s">
        <v>46</v>
      </c>
      <c r="U17" s="52">
        <f t="shared" si="7"/>
        <v>106000</v>
      </c>
      <c r="V17" s="53">
        <v>2000</v>
      </c>
      <c r="W17" s="54" t="s">
        <v>56</v>
      </c>
      <c r="X17" s="55" t="s">
        <v>60</v>
      </c>
      <c r="Y17" s="61" t="s">
        <v>61</v>
      </c>
      <c r="Z17" s="62"/>
      <c r="AA17">
        <f>VLOOKUP(C17,[1]Sheet1!$A$3:$A$141,1,0)</f>
        <v>451980</v>
      </c>
      <c r="AB17">
        <f>VLOOKUP(C17,[2]Sheet1!$A$2:$A$556,1,0)</f>
        <v>451980</v>
      </c>
      <c r="AC17">
        <f>VLOOKUP(C17,[3]MASTER!$D$2:$D$484,1,0)</f>
        <v>451980</v>
      </c>
    </row>
    <row r="18" spans="1:29" ht="15.6">
      <c r="A18" s="14"/>
      <c r="B18" s="15">
        <v>10007379</v>
      </c>
      <c r="C18" s="16">
        <v>451990</v>
      </c>
      <c r="D18" s="73" t="s">
        <v>64</v>
      </c>
      <c r="E18" s="16" t="s">
        <v>46</v>
      </c>
      <c r="F18" s="17">
        <v>24</v>
      </c>
      <c r="G18" s="18">
        <f t="shared" si="8"/>
        <v>4137.791666666667</v>
      </c>
      <c r="H18" s="18">
        <f t="shared" si="3"/>
        <v>4592.9487500000005</v>
      </c>
      <c r="I18" s="32">
        <f t="shared" si="4"/>
        <v>4.5621038961038862E-2</v>
      </c>
      <c r="J18" s="33">
        <f t="shared" si="2"/>
        <v>4812.5</v>
      </c>
      <c r="K18" s="34">
        <v>115500</v>
      </c>
      <c r="L18" s="35"/>
      <c r="M18" s="36"/>
      <c r="N18" s="37">
        <v>99307</v>
      </c>
      <c r="O18" s="37">
        <f t="shared" si="5"/>
        <v>110230.77</v>
      </c>
      <c r="P18" s="38">
        <f t="shared" si="6"/>
        <v>4.7801807063490492E-2</v>
      </c>
      <c r="Q18" s="33">
        <v>115500</v>
      </c>
      <c r="R18" s="34">
        <v>9500</v>
      </c>
      <c r="S18" s="51"/>
      <c r="T18" s="36" t="s">
        <v>46</v>
      </c>
      <c r="U18" s="52">
        <f t="shared" si="7"/>
        <v>106000</v>
      </c>
      <c r="V18" s="53">
        <v>2000</v>
      </c>
      <c r="W18" s="54" t="s">
        <v>56</v>
      </c>
      <c r="X18" s="55" t="s">
        <v>60</v>
      </c>
      <c r="Y18" s="61" t="s">
        <v>61</v>
      </c>
      <c r="Z18" s="62"/>
      <c r="AA18">
        <f>VLOOKUP(C18,[1]Sheet1!$A$3:$A$141,1,0)</f>
        <v>451990</v>
      </c>
      <c r="AB18">
        <f>VLOOKUP(C18,[2]Sheet1!$A$2:$A$556,1,0)</f>
        <v>451990</v>
      </c>
      <c r="AC18">
        <f>VLOOKUP(C18,[3]MASTER!$D$2:$D$484,1,0)</f>
        <v>451990</v>
      </c>
    </row>
    <row r="19" spans="1:29" ht="15.6">
      <c r="A19" s="14"/>
      <c r="B19" s="15">
        <v>10008095</v>
      </c>
      <c r="C19" s="16">
        <v>452000</v>
      </c>
      <c r="D19" s="73" t="s">
        <v>65</v>
      </c>
      <c r="E19" s="16" t="s">
        <v>46</v>
      </c>
      <c r="F19" s="17">
        <v>24</v>
      </c>
      <c r="G19" s="18">
        <f t="shared" si="8"/>
        <v>4137.791666666667</v>
      </c>
      <c r="H19" s="18">
        <f t="shared" si="3"/>
        <v>4592.9487500000005</v>
      </c>
      <c r="I19" s="32"/>
      <c r="J19" s="33">
        <f t="shared" si="2"/>
        <v>4812.5</v>
      </c>
      <c r="K19" s="34">
        <v>115500</v>
      </c>
      <c r="L19" s="35"/>
      <c r="M19" s="36"/>
      <c r="N19" s="37">
        <v>99307</v>
      </c>
      <c r="O19" s="37">
        <f t="shared" si="5"/>
        <v>110230.77</v>
      </c>
      <c r="P19" s="38">
        <f t="shared" si="6"/>
        <v>4.7801807063490492E-2</v>
      </c>
      <c r="Q19" s="33">
        <v>115500</v>
      </c>
      <c r="R19" s="34">
        <v>9500</v>
      </c>
      <c r="S19" s="51"/>
      <c r="T19" s="36" t="s">
        <v>46</v>
      </c>
      <c r="U19" s="52">
        <f t="shared" si="7"/>
        <v>106000</v>
      </c>
      <c r="V19" s="53">
        <v>2000</v>
      </c>
      <c r="W19" s="54" t="s">
        <v>56</v>
      </c>
      <c r="X19" s="55" t="s">
        <v>60</v>
      </c>
      <c r="Y19" s="61" t="s">
        <v>61</v>
      </c>
      <c r="Z19" s="62"/>
      <c r="AA19">
        <f>VLOOKUP(C19,[1]Sheet1!$A$3:$A$141,1,0)</f>
        <v>452000</v>
      </c>
      <c r="AB19">
        <f>VLOOKUP(C19,[2]Sheet1!$A$2:$A$556,1,0)</f>
        <v>452000</v>
      </c>
      <c r="AC19">
        <f>VLOOKUP(C19,[3]MASTER!$D$2:$D$484,1,0)</f>
        <v>452000</v>
      </c>
    </row>
    <row r="20" spans="1:29" ht="15.6">
      <c r="A20" s="14"/>
      <c r="B20" s="15">
        <v>20088964</v>
      </c>
      <c r="C20" s="16">
        <v>1419160</v>
      </c>
      <c r="D20" s="73" t="s">
        <v>66</v>
      </c>
      <c r="E20" s="16" t="s">
        <v>46</v>
      </c>
      <c r="F20" s="17">
        <v>24</v>
      </c>
      <c r="G20" s="18">
        <f t="shared" si="8"/>
        <v>4137.791666666667</v>
      </c>
      <c r="H20" s="18">
        <f t="shared" si="3"/>
        <v>4592.9487500000005</v>
      </c>
      <c r="I20" s="32"/>
      <c r="J20" s="33">
        <f t="shared" si="2"/>
        <v>4812.5</v>
      </c>
      <c r="K20" s="34">
        <v>115500</v>
      </c>
      <c r="L20" s="35"/>
      <c r="M20" s="36"/>
      <c r="N20" s="37">
        <v>99307</v>
      </c>
      <c r="O20" s="37">
        <f t="shared" si="5"/>
        <v>110230.77</v>
      </c>
      <c r="P20" s="38">
        <f t="shared" si="6"/>
        <v>4.7801807063490492E-2</v>
      </c>
      <c r="Q20" s="33">
        <v>115500</v>
      </c>
      <c r="R20" s="34">
        <v>9500</v>
      </c>
      <c r="S20" s="51"/>
      <c r="T20" s="36" t="s">
        <v>46</v>
      </c>
      <c r="U20" s="52">
        <f t="shared" si="7"/>
        <v>106000</v>
      </c>
      <c r="V20" s="53">
        <v>2000</v>
      </c>
      <c r="W20" s="54" t="s">
        <v>56</v>
      </c>
      <c r="X20" s="55" t="s">
        <v>60</v>
      </c>
      <c r="Y20" s="61" t="s">
        <v>61</v>
      </c>
      <c r="Z20" s="62"/>
      <c r="AA20" t="e">
        <f>VLOOKUP(C20,[1]Sheet1!$A$3:$A$141,1,0)</f>
        <v>#N/A</v>
      </c>
      <c r="AB20" t="e">
        <f>VLOOKUP(C20,[2]Sheet1!$A$2:$A$556,1,0)</f>
        <v>#N/A</v>
      </c>
      <c r="AC20" t="e">
        <f>VLOOKUP(C20,[3]MASTER!$D$2:$D$484,1,0)</f>
        <v>#N/A</v>
      </c>
    </row>
    <row r="21" spans="1:29" ht="15.6">
      <c r="A21" s="14"/>
      <c r="B21" s="15">
        <v>20090189</v>
      </c>
      <c r="C21" s="16">
        <v>1418920</v>
      </c>
      <c r="D21" s="73" t="s">
        <v>67</v>
      </c>
      <c r="E21" s="16" t="s">
        <v>46</v>
      </c>
      <c r="F21" s="17">
        <v>24</v>
      </c>
      <c r="G21" s="18">
        <f t="shared" si="8"/>
        <v>4137.791666666667</v>
      </c>
      <c r="H21" s="18">
        <f t="shared" si="3"/>
        <v>4592.9487500000005</v>
      </c>
      <c r="I21" s="32"/>
      <c r="J21" s="33">
        <f t="shared" si="2"/>
        <v>4812.5</v>
      </c>
      <c r="K21" s="34">
        <v>115500</v>
      </c>
      <c r="L21" s="35"/>
      <c r="M21" s="36"/>
      <c r="N21" s="37">
        <v>99307</v>
      </c>
      <c r="O21" s="37">
        <f t="shared" si="5"/>
        <v>110230.77</v>
      </c>
      <c r="P21" s="38">
        <f t="shared" si="6"/>
        <v>4.7801807063490492E-2</v>
      </c>
      <c r="Q21" s="33">
        <v>115500</v>
      </c>
      <c r="R21" s="34">
        <v>9500</v>
      </c>
      <c r="S21" s="51"/>
      <c r="T21" s="36" t="s">
        <v>46</v>
      </c>
      <c r="U21" s="52">
        <f t="shared" si="7"/>
        <v>106000</v>
      </c>
      <c r="V21" s="53">
        <v>2000</v>
      </c>
      <c r="W21" s="54" t="s">
        <v>56</v>
      </c>
      <c r="X21" s="55" t="s">
        <v>60</v>
      </c>
      <c r="Y21" s="61" t="s">
        <v>61</v>
      </c>
      <c r="Z21" s="62"/>
      <c r="AA21" t="e">
        <f>VLOOKUP(C21,[1]Sheet1!$A$3:$A$141,1,0)</f>
        <v>#N/A</v>
      </c>
      <c r="AB21" t="e">
        <f>VLOOKUP(C21,[2]Sheet1!$A$2:$A$556,1,0)</f>
        <v>#N/A</v>
      </c>
      <c r="AC21" t="e">
        <f>VLOOKUP(C21,[3]MASTER!$D$2:$D$484,1,0)</f>
        <v>#N/A</v>
      </c>
    </row>
    <row r="22" spans="1:29" ht="15.6">
      <c r="A22" s="14"/>
      <c r="B22" s="15">
        <v>10007380</v>
      </c>
      <c r="C22" s="16">
        <v>451980</v>
      </c>
      <c r="D22" s="73" t="s">
        <v>63</v>
      </c>
      <c r="E22" s="16" t="s">
        <v>46</v>
      </c>
      <c r="F22" s="17">
        <v>24</v>
      </c>
      <c r="G22" s="18">
        <f t="shared" si="8"/>
        <v>4137.791666666667</v>
      </c>
      <c r="H22" s="18">
        <f t="shared" si="3"/>
        <v>4592.9487500000005</v>
      </c>
      <c r="I22" s="32">
        <f t="shared" ref="I22:I28" si="9">IFERROR((J22-H22)/J22,0)</f>
        <v>4.5621038961038862E-2</v>
      </c>
      <c r="J22" s="33">
        <f t="shared" si="2"/>
        <v>4812.5</v>
      </c>
      <c r="K22" s="34">
        <v>115500</v>
      </c>
      <c r="L22" s="35"/>
      <c r="M22" s="36"/>
      <c r="N22" s="37">
        <v>99307</v>
      </c>
      <c r="O22" s="37">
        <f t="shared" si="5"/>
        <v>110230.77</v>
      </c>
      <c r="P22" s="38">
        <f t="shared" si="6"/>
        <v>4.7801807063490492E-2</v>
      </c>
      <c r="Q22" s="33">
        <v>115500</v>
      </c>
      <c r="R22" s="34">
        <v>9000</v>
      </c>
      <c r="S22" s="51"/>
      <c r="T22" s="36" t="s">
        <v>46</v>
      </c>
      <c r="U22" s="52">
        <f t="shared" si="7"/>
        <v>106500</v>
      </c>
      <c r="V22" s="53">
        <v>2000</v>
      </c>
      <c r="W22" s="54" t="s">
        <v>56</v>
      </c>
      <c r="X22" s="55" t="s">
        <v>68</v>
      </c>
      <c r="Y22" s="61" t="s">
        <v>61</v>
      </c>
      <c r="Z22" s="62"/>
      <c r="AA22">
        <f>VLOOKUP(C22,[1]Sheet1!$A$3:$A$141,1,0)</f>
        <v>451980</v>
      </c>
      <c r="AB22">
        <f>VLOOKUP(C22,[2]Sheet1!$A$2:$A$556,1,0)</f>
        <v>451980</v>
      </c>
      <c r="AC22">
        <f>VLOOKUP(C22,[3]MASTER!$D$2:$D$484,1,0)</f>
        <v>451980</v>
      </c>
    </row>
    <row r="23" spans="1:29" ht="15.6">
      <c r="A23" s="14"/>
      <c r="B23" s="15">
        <v>10007379</v>
      </c>
      <c r="C23" s="16">
        <v>451990</v>
      </c>
      <c r="D23" s="73" t="s">
        <v>64</v>
      </c>
      <c r="E23" s="16" t="s">
        <v>46</v>
      </c>
      <c r="F23" s="17">
        <v>24</v>
      </c>
      <c r="G23" s="18">
        <f t="shared" si="8"/>
        <v>4137.791666666667</v>
      </c>
      <c r="H23" s="18">
        <f t="shared" si="3"/>
        <v>4592.9487500000005</v>
      </c>
      <c r="I23" s="32">
        <f t="shared" si="9"/>
        <v>4.5621038961038862E-2</v>
      </c>
      <c r="J23" s="33">
        <f t="shared" si="2"/>
        <v>4812.5</v>
      </c>
      <c r="K23" s="34">
        <v>115500</v>
      </c>
      <c r="L23" s="35"/>
      <c r="M23" s="36"/>
      <c r="N23" s="37">
        <v>99307</v>
      </c>
      <c r="O23" s="37">
        <f t="shared" si="5"/>
        <v>110230.77</v>
      </c>
      <c r="P23" s="38">
        <f t="shared" si="6"/>
        <v>4.7801807063490492E-2</v>
      </c>
      <c r="Q23" s="33">
        <v>115500</v>
      </c>
      <c r="R23" s="34">
        <v>9000</v>
      </c>
      <c r="S23" s="51"/>
      <c r="T23" s="36" t="s">
        <v>46</v>
      </c>
      <c r="U23" s="52">
        <f t="shared" si="7"/>
        <v>106500</v>
      </c>
      <c r="V23" s="53">
        <v>2000</v>
      </c>
      <c r="W23" s="54" t="s">
        <v>56</v>
      </c>
      <c r="X23" s="55" t="s">
        <v>68</v>
      </c>
      <c r="Y23" s="61" t="s">
        <v>61</v>
      </c>
      <c r="Z23" s="62"/>
      <c r="AA23">
        <f>VLOOKUP(C23,[1]Sheet1!$A$3:$A$141,1,0)</f>
        <v>451990</v>
      </c>
      <c r="AB23">
        <f>VLOOKUP(C23,[2]Sheet1!$A$2:$A$556,1,0)</f>
        <v>451990</v>
      </c>
      <c r="AC23">
        <f>VLOOKUP(C23,[3]MASTER!$D$2:$D$484,1,0)</f>
        <v>451990</v>
      </c>
    </row>
    <row r="24" spans="1:29" ht="15.6">
      <c r="A24" s="14"/>
      <c r="B24" s="15">
        <v>10008095</v>
      </c>
      <c r="C24" s="16">
        <v>452000</v>
      </c>
      <c r="D24" s="73" t="s">
        <v>65</v>
      </c>
      <c r="E24" s="16" t="s">
        <v>46</v>
      </c>
      <c r="F24" s="17">
        <v>24</v>
      </c>
      <c r="G24" s="18">
        <f t="shared" si="8"/>
        <v>4137.791666666667</v>
      </c>
      <c r="H24" s="18">
        <f t="shared" si="3"/>
        <v>4592.9487500000005</v>
      </c>
      <c r="I24" s="32"/>
      <c r="J24" s="33">
        <f t="shared" si="2"/>
        <v>4812.5</v>
      </c>
      <c r="K24" s="34">
        <v>115500</v>
      </c>
      <c r="L24" s="35"/>
      <c r="M24" s="36"/>
      <c r="N24" s="37">
        <v>99307</v>
      </c>
      <c r="O24" s="37">
        <f t="shared" si="5"/>
        <v>110230.77</v>
      </c>
      <c r="P24" s="38">
        <f t="shared" si="6"/>
        <v>4.7801807063490492E-2</v>
      </c>
      <c r="Q24" s="33">
        <v>115500</v>
      </c>
      <c r="R24" s="34">
        <v>9000</v>
      </c>
      <c r="S24" s="51"/>
      <c r="T24" s="36" t="s">
        <v>46</v>
      </c>
      <c r="U24" s="52">
        <f t="shared" si="7"/>
        <v>106500</v>
      </c>
      <c r="V24" s="53">
        <v>2000</v>
      </c>
      <c r="W24" s="54" t="s">
        <v>56</v>
      </c>
      <c r="X24" s="55" t="s">
        <v>68</v>
      </c>
      <c r="Y24" s="61" t="s">
        <v>61</v>
      </c>
      <c r="Z24" s="62"/>
      <c r="AA24">
        <f>VLOOKUP(C24,[1]Sheet1!$A$3:$A$141,1,0)</f>
        <v>452000</v>
      </c>
      <c r="AB24">
        <f>VLOOKUP(C24,[2]Sheet1!$A$2:$A$556,1,0)</f>
        <v>452000</v>
      </c>
      <c r="AC24">
        <f>VLOOKUP(C24,[3]MASTER!$D$2:$D$484,1,0)</f>
        <v>452000</v>
      </c>
    </row>
    <row r="25" spans="1:29" ht="15.6">
      <c r="A25" s="14"/>
      <c r="B25" s="15">
        <v>20088964</v>
      </c>
      <c r="C25" s="16">
        <v>1419160</v>
      </c>
      <c r="D25" s="73" t="s">
        <v>66</v>
      </c>
      <c r="E25" s="16" t="s">
        <v>46</v>
      </c>
      <c r="F25" s="17">
        <v>24</v>
      </c>
      <c r="G25" s="18">
        <f t="shared" si="8"/>
        <v>4137.791666666667</v>
      </c>
      <c r="H25" s="18">
        <f t="shared" si="3"/>
        <v>4592.9487500000005</v>
      </c>
      <c r="I25" s="32"/>
      <c r="J25" s="33">
        <f t="shared" si="2"/>
        <v>4812.5</v>
      </c>
      <c r="K25" s="34">
        <v>115500</v>
      </c>
      <c r="L25" s="35"/>
      <c r="M25" s="36"/>
      <c r="N25" s="37">
        <v>99307</v>
      </c>
      <c r="O25" s="37">
        <f t="shared" si="5"/>
        <v>110230.77</v>
      </c>
      <c r="P25" s="38">
        <f t="shared" si="6"/>
        <v>4.7801807063490492E-2</v>
      </c>
      <c r="Q25" s="33">
        <v>115500</v>
      </c>
      <c r="R25" s="34">
        <v>9000</v>
      </c>
      <c r="S25" s="51"/>
      <c r="T25" s="36" t="s">
        <v>46</v>
      </c>
      <c r="U25" s="52">
        <f t="shared" si="7"/>
        <v>106500</v>
      </c>
      <c r="V25" s="53">
        <v>2000</v>
      </c>
      <c r="W25" s="54" t="s">
        <v>56</v>
      </c>
      <c r="X25" s="55" t="s">
        <v>68</v>
      </c>
      <c r="Y25" s="61" t="s">
        <v>61</v>
      </c>
      <c r="Z25" s="62"/>
      <c r="AA25" t="e">
        <f>VLOOKUP(C25,[1]Sheet1!$A$3:$A$141,1,0)</f>
        <v>#N/A</v>
      </c>
      <c r="AB25" t="e">
        <f>VLOOKUP(C25,[2]Sheet1!$A$2:$A$556,1,0)</f>
        <v>#N/A</v>
      </c>
      <c r="AC25" t="e">
        <f>VLOOKUP(C25,[3]MASTER!$D$2:$D$484,1,0)</f>
        <v>#N/A</v>
      </c>
    </row>
    <row r="26" spans="1:29" ht="15.6">
      <c r="A26" s="14"/>
      <c r="B26" s="15">
        <v>20090189</v>
      </c>
      <c r="C26" s="16">
        <v>1418920</v>
      </c>
      <c r="D26" s="73" t="s">
        <v>67</v>
      </c>
      <c r="E26" s="16" t="s">
        <v>46</v>
      </c>
      <c r="F26" s="17">
        <v>24</v>
      </c>
      <c r="G26" s="18">
        <f t="shared" si="8"/>
        <v>4137.791666666667</v>
      </c>
      <c r="H26" s="18">
        <f t="shared" si="3"/>
        <v>4592.9487500000005</v>
      </c>
      <c r="I26" s="32"/>
      <c r="J26" s="33">
        <f t="shared" si="2"/>
        <v>4812.5</v>
      </c>
      <c r="K26" s="34">
        <v>115500</v>
      </c>
      <c r="L26" s="35"/>
      <c r="M26" s="36"/>
      <c r="N26" s="37">
        <v>99307</v>
      </c>
      <c r="O26" s="37">
        <f t="shared" si="5"/>
        <v>110230.77</v>
      </c>
      <c r="P26" s="38">
        <f t="shared" si="6"/>
        <v>4.7801807063490492E-2</v>
      </c>
      <c r="Q26" s="33">
        <v>115500</v>
      </c>
      <c r="R26" s="34">
        <v>9000</v>
      </c>
      <c r="S26" s="51"/>
      <c r="T26" s="36" t="s">
        <v>46</v>
      </c>
      <c r="U26" s="52">
        <f t="shared" si="7"/>
        <v>106500</v>
      </c>
      <c r="V26" s="53">
        <v>2000</v>
      </c>
      <c r="W26" s="54" t="s">
        <v>56</v>
      </c>
      <c r="X26" s="55" t="s">
        <v>68</v>
      </c>
      <c r="Y26" s="61" t="s">
        <v>61</v>
      </c>
      <c r="Z26" s="62"/>
      <c r="AA26" t="e">
        <f>VLOOKUP(C26,[1]Sheet1!$A$3:$A$141,1,0)</f>
        <v>#N/A</v>
      </c>
      <c r="AB26" t="e">
        <f>VLOOKUP(C26,[2]Sheet1!$A$2:$A$556,1,0)</f>
        <v>#N/A</v>
      </c>
      <c r="AC26" t="e">
        <f>VLOOKUP(C26,[3]MASTER!$D$2:$D$484,1,0)</f>
        <v>#N/A</v>
      </c>
    </row>
    <row r="27" spans="1:29" ht="15.6">
      <c r="A27" s="14"/>
      <c r="B27" s="15">
        <v>10007380</v>
      </c>
      <c r="C27" s="16">
        <v>451980</v>
      </c>
      <c r="D27" s="73" t="s">
        <v>63</v>
      </c>
      <c r="E27" s="16" t="s">
        <v>46</v>
      </c>
      <c r="F27" s="17">
        <v>24</v>
      </c>
      <c r="G27" s="18">
        <f t="shared" si="8"/>
        <v>4137.791666666667</v>
      </c>
      <c r="H27" s="18">
        <f t="shared" si="3"/>
        <v>4592.9487500000005</v>
      </c>
      <c r="I27" s="32">
        <f t="shared" si="9"/>
        <v>4.5621038961038862E-2</v>
      </c>
      <c r="J27" s="33">
        <f t="shared" si="2"/>
        <v>4812.5</v>
      </c>
      <c r="K27" s="34">
        <v>115500</v>
      </c>
      <c r="L27" s="35"/>
      <c r="M27" s="36"/>
      <c r="N27" s="37">
        <v>99307</v>
      </c>
      <c r="O27" s="37">
        <f t="shared" si="5"/>
        <v>110230.77</v>
      </c>
      <c r="P27" s="38">
        <f t="shared" si="6"/>
        <v>4.7801807063490492E-2</v>
      </c>
      <c r="Q27" s="33">
        <v>115500</v>
      </c>
      <c r="R27" s="34">
        <v>7500</v>
      </c>
      <c r="S27" s="51"/>
      <c r="T27" s="36" t="s">
        <v>46</v>
      </c>
      <c r="U27" s="52">
        <f t="shared" si="7"/>
        <v>108000</v>
      </c>
      <c r="V27" s="53">
        <v>2000</v>
      </c>
      <c r="W27" s="54" t="s">
        <v>56</v>
      </c>
      <c r="X27" s="55" t="s">
        <v>69</v>
      </c>
      <c r="Y27" s="61" t="s">
        <v>61</v>
      </c>
      <c r="Z27" s="62"/>
      <c r="AA27">
        <f>VLOOKUP(C27,[1]Sheet1!$A$3:$A$141,1,0)</f>
        <v>451980</v>
      </c>
      <c r="AB27">
        <f>VLOOKUP(C27,[2]Sheet1!$A$2:$A$556,1,0)</f>
        <v>451980</v>
      </c>
      <c r="AC27">
        <f>VLOOKUP(C27,[3]MASTER!$D$2:$D$484,1,0)</f>
        <v>451980</v>
      </c>
    </row>
    <row r="28" spans="1:29" ht="15.6">
      <c r="A28" s="14"/>
      <c r="B28" s="15">
        <v>10007379</v>
      </c>
      <c r="C28" s="16">
        <v>451990</v>
      </c>
      <c r="D28" s="73" t="s">
        <v>64</v>
      </c>
      <c r="E28" s="16" t="s">
        <v>46</v>
      </c>
      <c r="F28" s="17">
        <v>24</v>
      </c>
      <c r="G28" s="18">
        <f t="shared" si="8"/>
        <v>4137.791666666667</v>
      </c>
      <c r="H28" s="18">
        <f t="shared" si="3"/>
        <v>4592.9487500000005</v>
      </c>
      <c r="I28" s="32">
        <f t="shared" si="9"/>
        <v>4.5621038961038862E-2</v>
      </c>
      <c r="J28" s="33">
        <f t="shared" si="2"/>
        <v>4812.5</v>
      </c>
      <c r="K28" s="34">
        <v>115500</v>
      </c>
      <c r="L28" s="35"/>
      <c r="M28" s="36"/>
      <c r="N28" s="37">
        <v>99307</v>
      </c>
      <c r="O28" s="37">
        <f t="shared" si="5"/>
        <v>110230.77</v>
      </c>
      <c r="P28" s="38">
        <f t="shared" si="6"/>
        <v>4.7801807063490492E-2</v>
      </c>
      <c r="Q28" s="33">
        <v>115500</v>
      </c>
      <c r="R28" s="34">
        <v>7500</v>
      </c>
      <c r="S28" s="51"/>
      <c r="T28" s="36" t="s">
        <v>46</v>
      </c>
      <c r="U28" s="52">
        <f t="shared" si="7"/>
        <v>108000</v>
      </c>
      <c r="V28" s="53">
        <v>2000</v>
      </c>
      <c r="W28" s="54" t="s">
        <v>56</v>
      </c>
      <c r="X28" s="55" t="s">
        <v>69</v>
      </c>
      <c r="Y28" s="61" t="s">
        <v>61</v>
      </c>
      <c r="Z28" s="62"/>
      <c r="AA28">
        <f>VLOOKUP(C28,[1]Sheet1!$A$3:$A$141,1,0)</f>
        <v>451990</v>
      </c>
      <c r="AB28">
        <f>VLOOKUP(C28,[2]Sheet1!$A$2:$A$556,1,0)</f>
        <v>451990</v>
      </c>
      <c r="AC28">
        <f>VLOOKUP(C28,[3]MASTER!$D$2:$D$484,1,0)</f>
        <v>451990</v>
      </c>
    </row>
    <row r="29" spans="1:29" ht="15.6">
      <c r="A29" s="14"/>
      <c r="B29" s="15">
        <v>10008095</v>
      </c>
      <c r="C29" s="16">
        <v>452000</v>
      </c>
      <c r="D29" s="73" t="s">
        <v>65</v>
      </c>
      <c r="E29" s="16" t="s">
        <v>46</v>
      </c>
      <c r="F29" s="17">
        <v>24</v>
      </c>
      <c r="G29" s="18">
        <f t="shared" si="8"/>
        <v>4137.791666666667</v>
      </c>
      <c r="H29" s="18">
        <f t="shared" si="3"/>
        <v>4592.9487500000005</v>
      </c>
      <c r="I29" s="32"/>
      <c r="J29" s="33">
        <f t="shared" si="2"/>
        <v>4812.5</v>
      </c>
      <c r="K29" s="34">
        <v>115500</v>
      </c>
      <c r="L29" s="35"/>
      <c r="M29" s="36"/>
      <c r="N29" s="37">
        <v>99307</v>
      </c>
      <c r="O29" s="37">
        <f t="shared" si="5"/>
        <v>110230.77</v>
      </c>
      <c r="P29" s="38">
        <f t="shared" si="6"/>
        <v>4.7801807063490492E-2</v>
      </c>
      <c r="Q29" s="33">
        <v>115500</v>
      </c>
      <c r="R29" s="34">
        <v>7500</v>
      </c>
      <c r="S29" s="51"/>
      <c r="T29" s="36" t="s">
        <v>46</v>
      </c>
      <c r="U29" s="52">
        <f t="shared" si="7"/>
        <v>108000</v>
      </c>
      <c r="V29" s="53">
        <v>2000</v>
      </c>
      <c r="W29" s="54" t="s">
        <v>56</v>
      </c>
      <c r="X29" s="55" t="s">
        <v>69</v>
      </c>
      <c r="Y29" s="61" t="s">
        <v>61</v>
      </c>
      <c r="Z29" s="62"/>
      <c r="AA29">
        <f>VLOOKUP(C29,[1]Sheet1!$A$3:$A$141,1,0)</f>
        <v>452000</v>
      </c>
      <c r="AB29">
        <f>VLOOKUP(C29,[2]Sheet1!$A$2:$A$556,1,0)</f>
        <v>452000</v>
      </c>
      <c r="AC29">
        <f>VLOOKUP(C29,[3]MASTER!$D$2:$D$484,1,0)</f>
        <v>452000</v>
      </c>
    </row>
    <row r="30" spans="1:29" ht="15.6">
      <c r="A30" s="14"/>
      <c r="B30" s="15">
        <v>20088964</v>
      </c>
      <c r="C30" s="16">
        <v>1419160</v>
      </c>
      <c r="D30" s="73" t="s">
        <v>66</v>
      </c>
      <c r="E30" s="16" t="s">
        <v>46</v>
      </c>
      <c r="F30" s="17">
        <v>24</v>
      </c>
      <c r="G30" s="18">
        <f t="shared" si="8"/>
        <v>4137.791666666667</v>
      </c>
      <c r="H30" s="18">
        <f t="shared" si="3"/>
        <v>4592.9487500000005</v>
      </c>
      <c r="I30" s="32"/>
      <c r="J30" s="33">
        <f t="shared" si="2"/>
        <v>4812.5</v>
      </c>
      <c r="K30" s="34">
        <v>115500</v>
      </c>
      <c r="L30" s="35"/>
      <c r="M30" s="36"/>
      <c r="N30" s="37">
        <v>99307</v>
      </c>
      <c r="O30" s="37">
        <f t="shared" si="5"/>
        <v>110230.77</v>
      </c>
      <c r="P30" s="38">
        <f t="shared" si="6"/>
        <v>4.7801807063490492E-2</v>
      </c>
      <c r="Q30" s="33">
        <v>115500</v>
      </c>
      <c r="R30" s="34">
        <v>7500</v>
      </c>
      <c r="S30" s="51"/>
      <c r="T30" s="36" t="s">
        <v>46</v>
      </c>
      <c r="U30" s="52">
        <f t="shared" si="7"/>
        <v>108000</v>
      </c>
      <c r="V30" s="53">
        <v>2000</v>
      </c>
      <c r="W30" s="54" t="s">
        <v>56</v>
      </c>
      <c r="X30" s="55" t="s">
        <v>69</v>
      </c>
      <c r="Y30" s="61" t="s">
        <v>61</v>
      </c>
      <c r="Z30" s="62"/>
      <c r="AA30" t="e">
        <f>VLOOKUP(C30,[1]Sheet1!$A$3:$A$141,1,0)</f>
        <v>#N/A</v>
      </c>
      <c r="AB30" t="e">
        <f>VLOOKUP(C30,[2]Sheet1!$A$2:$A$556,1,0)</f>
        <v>#N/A</v>
      </c>
      <c r="AC30" t="e">
        <f>VLOOKUP(C30,[3]MASTER!$D$2:$D$484,1,0)</f>
        <v>#N/A</v>
      </c>
    </row>
    <row r="31" spans="1:29" ht="15.6">
      <c r="A31" s="14"/>
      <c r="B31" s="15">
        <v>20090189</v>
      </c>
      <c r="C31" s="16">
        <v>1418920</v>
      </c>
      <c r="D31" s="73" t="s">
        <v>67</v>
      </c>
      <c r="E31" s="16" t="s">
        <v>46</v>
      </c>
      <c r="F31" s="17">
        <v>24</v>
      </c>
      <c r="G31" s="18">
        <f t="shared" si="8"/>
        <v>4137.791666666667</v>
      </c>
      <c r="H31" s="18">
        <f t="shared" si="3"/>
        <v>4592.9487500000005</v>
      </c>
      <c r="I31" s="32"/>
      <c r="J31" s="33">
        <f t="shared" si="2"/>
        <v>4812.5</v>
      </c>
      <c r="K31" s="34">
        <v>115500</v>
      </c>
      <c r="L31" s="35"/>
      <c r="M31" s="36"/>
      <c r="N31" s="37">
        <v>99307</v>
      </c>
      <c r="O31" s="37">
        <f t="shared" si="5"/>
        <v>110230.77</v>
      </c>
      <c r="P31" s="38">
        <f t="shared" si="6"/>
        <v>4.7801807063490492E-2</v>
      </c>
      <c r="Q31" s="33">
        <v>115500</v>
      </c>
      <c r="R31" s="34">
        <v>7500</v>
      </c>
      <c r="S31" s="51"/>
      <c r="T31" s="36" t="s">
        <v>46</v>
      </c>
      <c r="U31" s="52">
        <f t="shared" si="7"/>
        <v>108000</v>
      </c>
      <c r="V31" s="53">
        <v>2000</v>
      </c>
      <c r="W31" s="54" t="s">
        <v>56</v>
      </c>
      <c r="X31" s="55" t="s">
        <v>69</v>
      </c>
      <c r="Y31" s="61" t="s">
        <v>61</v>
      </c>
      <c r="Z31" s="62"/>
      <c r="AA31" t="e">
        <f>VLOOKUP(C31,[1]Sheet1!$A$3:$A$141,1,0)</f>
        <v>#N/A</v>
      </c>
      <c r="AB31" t="e">
        <f>VLOOKUP(C31,[2]Sheet1!$A$2:$A$556,1,0)</f>
        <v>#N/A</v>
      </c>
      <c r="AC31" t="e">
        <f>VLOOKUP(C31,[3]MASTER!$D$2:$D$484,1,0)</f>
        <v>#N/A</v>
      </c>
    </row>
    <row r="32" spans="1:29" ht="15.6">
      <c r="A32" s="14">
        <v>6</v>
      </c>
      <c r="B32" s="15" t="s">
        <v>70</v>
      </c>
      <c r="C32" s="16">
        <v>1461130</v>
      </c>
      <c r="D32" s="73" t="s">
        <v>71</v>
      </c>
      <c r="E32" s="16" t="s">
        <v>46</v>
      </c>
      <c r="F32" s="17">
        <v>12</v>
      </c>
      <c r="G32" s="18">
        <v>34042</v>
      </c>
      <c r="H32" s="18">
        <f t="shared" ref="H32:H39" si="10">G32*1.11</f>
        <v>37786.620000000003</v>
      </c>
      <c r="I32" s="32">
        <f>IFERROR((J32-(G32*1.11))/J32,0)</f>
        <v>4.3376708860759429E-2</v>
      </c>
      <c r="J32" s="33">
        <v>39500</v>
      </c>
      <c r="K32" s="34">
        <v>39500</v>
      </c>
      <c r="L32" s="35"/>
      <c r="M32" s="36"/>
      <c r="N32" s="37">
        <v>34042</v>
      </c>
      <c r="O32" s="37">
        <v>37786.620000000003</v>
      </c>
      <c r="P32" s="38">
        <f t="shared" si="6"/>
        <v>4.534356340948191E-2</v>
      </c>
      <c r="Q32" s="33">
        <v>39500</v>
      </c>
      <c r="R32" s="34"/>
      <c r="S32" s="51"/>
      <c r="T32" s="36" t="s">
        <v>46</v>
      </c>
      <c r="U32" s="52">
        <f t="shared" si="7"/>
        <v>39500</v>
      </c>
      <c r="V32" s="53">
        <v>2500</v>
      </c>
      <c r="W32" s="54" t="s">
        <v>72</v>
      </c>
      <c r="X32" s="55" t="s">
        <v>73</v>
      </c>
      <c r="Y32" s="61" t="s">
        <v>61</v>
      </c>
      <c r="Z32" s="62"/>
      <c r="AA32">
        <f>VLOOKUP(C32,[1]Sheet1!$A$3:$A$141,1,0)</f>
        <v>1461130</v>
      </c>
      <c r="AB32">
        <f>VLOOKUP(C32,[2]Sheet1!$A$2:$A$556,1,0)</f>
        <v>1461130</v>
      </c>
      <c r="AC32">
        <f>VLOOKUP(C32,[3]MASTER!$D$2:$D$484,1,0)</f>
        <v>1461130</v>
      </c>
    </row>
    <row r="33" spans="1:29" ht="15.6">
      <c r="A33" s="14"/>
      <c r="B33" s="15" t="s">
        <v>70</v>
      </c>
      <c r="C33" s="16">
        <v>1461130</v>
      </c>
      <c r="D33" s="73" t="s">
        <v>71</v>
      </c>
      <c r="E33" s="16" t="s">
        <v>46</v>
      </c>
      <c r="F33" s="17">
        <v>12</v>
      </c>
      <c r="G33" s="18">
        <v>36666.720000000001</v>
      </c>
      <c r="H33" s="18">
        <f t="shared" si="10"/>
        <v>40700.059200000003</v>
      </c>
      <c r="I33" s="32">
        <f>IFERROR((J33-(G33*1.11))/J33,0)</f>
        <v>4.9064037383177495E-2</v>
      </c>
      <c r="J33" s="33">
        <v>42800</v>
      </c>
      <c r="K33" s="34">
        <v>42800</v>
      </c>
      <c r="L33" s="35"/>
      <c r="M33" s="36"/>
      <c r="N33" s="37">
        <v>36666.720000000001</v>
      </c>
      <c r="O33" s="37">
        <v>40700.059200000003</v>
      </c>
      <c r="P33" s="38">
        <f t="shared" si="6"/>
        <v>4.4224525354007262E-2</v>
      </c>
      <c r="Q33" s="33">
        <v>42500</v>
      </c>
      <c r="R33" s="34"/>
      <c r="S33" s="51"/>
      <c r="T33" s="36" t="s">
        <v>46</v>
      </c>
      <c r="U33" s="52">
        <f t="shared" si="7"/>
        <v>42500</v>
      </c>
      <c r="V33" s="53">
        <v>2500</v>
      </c>
      <c r="W33" s="54" t="s">
        <v>72</v>
      </c>
      <c r="X33" s="55" t="s">
        <v>74</v>
      </c>
      <c r="Y33" s="61" t="s">
        <v>61</v>
      </c>
      <c r="Z33" s="62"/>
      <c r="AA33">
        <f>VLOOKUP(C33,[1]Sheet1!$A$3:$A$141,1,0)</f>
        <v>1461130</v>
      </c>
      <c r="AB33">
        <f>VLOOKUP(C33,[2]Sheet1!$A$2:$A$556,1,0)</f>
        <v>1461130</v>
      </c>
      <c r="AC33">
        <f>VLOOKUP(C33,[3]MASTER!$D$2:$D$484,1,0)</f>
        <v>1461130</v>
      </c>
    </row>
    <row r="34" spans="1:29" ht="15.6">
      <c r="A34" s="14">
        <v>7</v>
      </c>
      <c r="B34" s="15">
        <v>10003814</v>
      </c>
      <c r="C34" s="16">
        <v>12700</v>
      </c>
      <c r="D34" s="73" t="s">
        <v>75</v>
      </c>
      <c r="E34" s="16" t="s">
        <v>46</v>
      </c>
      <c r="F34" s="17">
        <v>24</v>
      </c>
      <c r="G34" s="18">
        <v>1700</v>
      </c>
      <c r="H34" s="18">
        <f t="shared" si="10"/>
        <v>1887.0000000000002</v>
      </c>
      <c r="I34" s="32">
        <f t="shared" ref="I34:I39" si="11">IFERROR((J34-H34)/J34,0)</f>
        <v>6.6226804123709723E-2</v>
      </c>
      <c r="J34" s="33">
        <v>2020.8333333333301</v>
      </c>
      <c r="K34" s="34">
        <v>48500</v>
      </c>
      <c r="L34" s="35"/>
      <c r="M34" s="36"/>
      <c r="N34" s="37">
        <v>40800</v>
      </c>
      <c r="O34" s="37">
        <v>45288</v>
      </c>
      <c r="P34" s="38">
        <f t="shared" si="6"/>
        <v>7.0923865041512102E-2</v>
      </c>
      <c r="Q34" s="33">
        <v>48500</v>
      </c>
      <c r="R34" s="34">
        <v>2000</v>
      </c>
      <c r="S34" s="51"/>
      <c r="T34" s="36" t="s">
        <v>46</v>
      </c>
      <c r="U34" s="52">
        <f t="shared" si="7"/>
        <v>46500</v>
      </c>
      <c r="V34" s="53">
        <v>1500</v>
      </c>
      <c r="W34" s="54" t="s">
        <v>48</v>
      </c>
      <c r="X34" s="55" t="s">
        <v>60</v>
      </c>
      <c r="Y34" s="61" t="s">
        <v>76</v>
      </c>
      <c r="Z34" s="62"/>
      <c r="AA34">
        <f>VLOOKUP(C34,[1]Sheet1!$A$3:$A$141,1,0)</f>
        <v>12700</v>
      </c>
      <c r="AB34">
        <f>VLOOKUP(C34,[2]Sheet1!$A$2:$A$556,1,0)</f>
        <v>12700</v>
      </c>
      <c r="AC34">
        <f>VLOOKUP(C34,[3]MASTER!$D$2:$D$484,1,0)</f>
        <v>12700</v>
      </c>
    </row>
    <row r="35" spans="1:29" ht="15.6">
      <c r="A35" s="14"/>
      <c r="B35" s="15">
        <v>10003814</v>
      </c>
      <c r="C35" s="16">
        <v>12700</v>
      </c>
      <c r="D35" s="73" t="s">
        <v>75</v>
      </c>
      <c r="E35" s="16" t="s">
        <v>46</v>
      </c>
      <c r="F35" s="17">
        <v>24</v>
      </c>
      <c r="G35" s="18">
        <v>1858</v>
      </c>
      <c r="H35" s="18">
        <f t="shared" si="10"/>
        <v>2062.38</v>
      </c>
      <c r="I35" s="32">
        <f t="shared" si="11"/>
        <v>5.7197714285714234E-2</v>
      </c>
      <c r="J35" s="33">
        <v>2187.5</v>
      </c>
      <c r="K35" s="34">
        <v>52500</v>
      </c>
      <c r="L35" s="35"/>
      <c r="M35" s="36"/>
      <c r="N35" s="37">
        <v>44592</v>
      </c>
      <c r="O35" s="37">
        <v>49497.120000000003</v>
      </c>
      <c r="P35" s="38">
        <f t="shared" si="6"/>
        <v>6.066777218553316E-2</v>
      </c>
      <c r="Q35" s="33">
        <v>52500</v>
      </c>
      <c r="R35" s="34">
        <v>2000</v>
      </c>
      <c r="S35" s="51"/>
      <c r="T35" s="36" t="s">
        <v>46</v>
      </c>
      <c r="U35" s="52">
        <f t="shared" si="7"/>
        <v>50500</v>
      </c>
      <c r="V35" s="53">
        <v>1500</v>
      </c>
      <c r="W35" s="54" t="s">
        <v>48</v>
      </c>
      <c r="X35" s="55" t="s">
        <v>68</v>
      </c>
      <c r="Y35" s="61" t="s">
        <v>76</v>
      </c>
      <c r="Z35" s="62"/>
      <c r="AA35">
        <f>VLOOKUP(C35,[1]Sheet1!$A$3:$A$141,1,0)</f>
        <v>12700</v>
      </c>
      <c r="AB35">
        <f>VLOOKUP(C35,[2]Sheet1!$A$2:$A$556,1,0)</f>
        <v>12700</v>
      </c>
      <c r="AC35">
        <f>VLOOKUP(C35,[3]MASTER!$D$2:$D$484,1,0)</f>
        <v>12700</v>
      </c>
    </row>
    <row r="36" spans="1:29" ht="15.6">
      <c r="A36" s="14"/>
      <c r="B36" s="15">
        <v>10003814</v>
      </c>
      <c r="C36" s="16">
        <v>12700</v>
      </c>
      <c r="D36" s="73" t="s">
        <v>75</v>
      </c>
      <c r="E36" s="16" t="s">
        <v>46</v>
      </c>
      <c r="F36" s="17">
        <v>24</v>
      </c>
      <c r="G36" s="18">
        <v>2065</v>
      </c>
      <c r="H36" s="18">
        <f t="shared" si="10"/>
        <v>2292.15</v>
      </c>
      <c r="I36" s="32">
        <f t="shared" si="11"/>
        <v>5.1524137931035816E-2</v>
      </c>
      <c r="J36" s="33">
        <v>2416.6666666666702</v>
      </c>
      <c r="K36" s="34">
        <v>58000</v>
      </c>
      <c r="L36" s="35"/>
      <c r="M36" s="36"/>
      <c r="N36" s="37">
        <v>49560</v>
      </c>
      <c r="O36" s="37">
        <v>55011.6</v>
      </c>
      <c r="P36" s="38">
        <f t="shared" si="6"/>
        <v>5.4323088221393333E-2</v>
      </c>
      <c r="Q36" s="33">
        <v>58000</v>
      </c>
      <c r="R36" s="34">
        <v>2000</v>
      </c>
      <c r="S36" s="51"/>
      <c r="T36" s="36" t="s">
        <v>46</v>
      </c>
      <c r="U36" s="52">
        <f t="shared" si="7"/>
        <v>56000</v>
      </c>
      <c r="V36" s="53">
        <v>1500</v>
      </c>
      <c r="W36" s="54" t="s">
        <v>48</v>
      </c>
      <c r="X36" s="55" t="s">
        <v>77</v>
      </c>
      <c r="Y36" s="61" t="s">
        <v>76</v>
      </c>
      <c r="Z36" s="62"/>
      <c r="AA36">
        <f>VLOOKUP(C36,[1]Sheet1!$A$3:$A$141,1,0)</f>
        <v>12700</v>
      </c>
      <c r="AB36">
        <f>VLOOKUP(C36,[2]Sheet1!$A$2:$A$556,1,0)</f>
        <v>12700</v>
      </c>
      <c r="AC36">
        <f>VLOOKUP(C36,[3]MASTER!$D$2:$D$484,1,0)</f>
        <v>12700</v>
      </c>
    </row>
    <row r="37" spans="1:29" ht="15.6">
      <c r="A37" s="14"/>
      <c r="B37" s="15">
        <v>10003814</v>
      </c>
      <c r="C37" s="16">
        <v>12700</v>
      </c>
      <c r="D37" s="73" t="s">
        <v>75</v>
      </c>
      <c r="E37" s="16" t="s">
        <v>46</v>
      </c>
      <c r="F37" s="17">
        <v>24</v>
      </c>
      <c r="G37" s="18">
        <v>1700.45</v>
      </c>
      <c r="H37" s="18">
        <f t="shared" si="10"/>
        <v>1887.4995000000001</v>
      </c>
      <c r="I37" s="32">
        <f t="shared" si="11"/>
        <v>6.5979628865977816E-2</v>
      </c>
      <c r="J37" s="33">
        <v>2020.8333333333301</v>
      </c>
      <c r="K37" s="34">
        <v>48500</v>
      </c>
      <c r="L37" s="35"/>
      <c r="M37" s="36"/>
      <c r="N37" s="37">
        <v>40810.800000000003</v>
      </c>
      <c r="O37" s="37">
        <v>45299.987999999998</v>
      </c>
      <c r="P37" s="38">
        <f t="shared" si="6"/>
        <v>7.0640460213808501E-2</v>
      </c>
      <c r="Q37" s="33">
        <v>48500</v>
      </c>
      <c r="R37" s="34">
        <v>2000</v>
      </c>
      <c r="S37" s="51"/>
      <c r="T37" s="36" t="s">
        <v>46</v>
      </c>
      <c r="U37" s="52">
        <f t="shared" si="7"/>
        <v>46500</v>
      </c>
      <c r="V37" s="53">
        <v>1500</v>
      </c>
      <c r="W37" s="54" t="s">
        <v>48</v>
      </c>
      <c r="X37" s="55" t="s">
        <v>78</v>
      </c>
      <c r="Y37" s="61" t="s">
        <v>76</v>
      </c>
      <c r="Z37" s="62"/>
      <c r="AA37">
        <f>VLOOKUP(C37,[1]Sheet1!$A$3:$A$141,1,0)</f>
        <v>12700</v>
      </c>
      <c r="AB37">
        <f>VLOOKUP(C37,[2]Sheet1!$A$2:$A$556,1,0)</f>
        <v>12700</v>
      </c>
      <c r="AC37">
        <f>VLOOKUP(C37,[3]MASTER!$D$2:$D$484,1,0)</f>
        <v>12700</v>
      </c>
    </row>
    <row r="38" spans="1:29" ht="15.6">
      <c r="A38" s="14"/>
      <c r="B38" s="15">
        <v>10003814</v>
      </c>
      <c r="C38" s="16">
        <v>12700</v>
      </c>
      <c r="D38" s="73" t="s">
        <v>75</v>
      </c>
      <c r="E38" s="16" t="s">
        <v>46</v>
      </c>
      <c r="F38" s="17">
        <v>24</v>
      </c>
      <c r="G38" s="18">
        <v>2108.2199999999998</v>
      </c>
      <c r="H38" s="18">
        <f t="shared" si="10"/>
        <v>2340.1242000000002</v>
      </c>
      <c r="I38" s="32">
        <f t="shared" si="11"/>
        <v>3.1672744827587522E-2</v>
      </c>
      <c r="J38" s="33">
        <v>2416.6666666666702</v>
      </c>
      <c r="K38" s="34">
        <v>58000</v>
      </c>
      <c r="L38" s="35"/>
      <c r="M38" s="36"/>
      <c r="N38" s="37">
        <v>50597.279999999999</v>
      </c>
      <c r="O38" s="37">
        <v>56162.980799999998</v>
      </c>
      <c r="P38" s="38">
        <f t="shared" si="6"/>
        <v>3.2708719762253119E-2</v>
      </c>
      <c r="Q38" s="33">
        <v>58000</v>
      </c>
      <c r="R38" s="34">
        <v>2000</v>
      </c>
      <c r="S38" s="51"/>
      <c r="T38" s="36" t="s">
        <v>46</v>
      </c>
      <c r="U38" s="52">
        <f t="shared" si="7"/>
        <v>56000</v>
      </c>
      <c r="V38" s="53">
        <v>1500</v>
      </c>
      <c r="W38" s="54" t="s">
        <v>48</v>
      </c>
      <c r="X38" s="55" t="s">
        <v>79</v>
      </c>
      <c r="Y38" s="61" t="s">
        <v>76</v>
      </c>
      <c r="Z38" s="62"/>
      <c r="AA38">
        <f>VLOOKUP(C38,[1]Sheet1!$A$3:$A$141,1,0)</f>
        <v>12700</v>
      </c>
      <c r="AB38">
        <f>VLOOKUP(C38,[2]Sheet1!$A$2:$A$556,1,0)</f>
        <v>12700</v>
      </c>
      <c r="AC38">
        <f>VLOOKUP(C38,[3]MASTER!$D$2:$D$484,1,0)</f>
        <v>12700</v>
      </c>
    </row>
    <row r="39" spans="1:29" ht="15.6">
      <c r="A39" s="14"/>
      <c r="B39" s="15">
        <v>10003814</v>
      </c>
      <c r="C39" s="16">
        <v>12700</v>
      </c>
      <c r="D39" s="73" t="s">
        <v>75</v>
      </c>
      <c r="E39" s="16" t="s">
        <v>46</v>
      </c>
      <c r="F39" s="17">
        <v>24</v>
      </c>
      <c r="G39" s="18">
        <v>2720.88</v>
      </c>
      <c r="H39" s="18">
        <f t="shared" si="10"/>
        <v>3020.1768000000002</v>
      </c>
      <c r="I39" s="32">
        <f t="shared" si="11"/>
        <v>3.354342399999994E-2</v>
      </c>
      <c r="J39" s="33">
        <v>3125</v>
      </c>
      <c r="K39" s="34">
        <v>75000</v>
      </c>
      <c r="L39" s="35"/>
      <c r="M39" s="36"/>
      <c r="N39" s="37">
        <v>65301.120000000003</v>
      </c>
      <c r="O39" s="37">
        <v>72484.243199999997</v>
      </c>
      <c r="P39" s="38">
        <f t="shared" si="6"/>
        <v>3.4707636983371343E-2</v>
      </c>
      <c r="Q39" s="33">
        <v>75000</v>
      </c>
      <c r="R39" s="34">
        <v>2000</v>
      </c>
      <c r="S39" s="51"/>
      <c r="T39" s="36" t="s">
        <v>46</v>
      </c>
      <c r="U39" s="52">
        <f>Q39-R39-(S39)</f>
        <v>73000</v>
      </c>
      <c r="V39" s="53">
        <v>1500</v>
      </c>
      <c r="W39" s="54" t="s">
        <v>48</v>
      </c>
      <c r="X39" s="55" t="s">
        <v>80</v>
      </c>
      <c r="Y39" s="61" t="s">
        <v>76</v>
      </c>
      <c r="Z39" s="62"/>
      <c r="AA39">
        <f>VLOOKUP(C39,[1]Sheet1!$A$3:$A$141,1,0)</f>
        <v>12700</v>
      </c>
      <c r="AB39">
        <f>VLOOKUP(C39,[2]Sheet1!$A$2:$A$556,1,0)</f>
        <v>12700</v>
      </c>
      <c r="AC39">
        <f>VLOOKUP(C39,[3]MASTER!$D$2:$D$484,1,0)</f>
        <v>12700</v>
      </c>
    </row>
    <row r="40" spans="1:29" ht="15.6">
      <c r="A40" s="14">
        <v>8</v>
      </c>
      <c r="B40" s="15"/>
      <c r="C40" s="16">
        <v>1419070</v>
      </c>
      <c r="D40" s="73" t="s">
        <v>81</v>
      </c>
      <c r="E40" s="16" t="s">
        <v>46</v>
      </c>
      <c r="F40" s="17">
        <v>28</v>
      </c>
      <c r="G40" s="18"/>
      <c r="H40" s="18"/>
      <c r="I40" s="32"/>
      <c r="J40" s="33"/>
      <c r="K40" s="34"/>
      <c r="L40" s="35"/>
      <c r="M40" s="36"/>
      <c r="N40" s="37">
        <v>8474.9</v>
      </c>
      <c r="O40" s="37">
        <v>9407.1389999999992</v>
      </c>
      <c r="P40" s="38">
        <f t="shared" si="6"/>
        <v>8.4282904717364215E-2</v>
      </c>
      <c r="Q40" s="33">
        <v>10200</v>
      </c>
      <c r="R40" s="34">
        <v>1800</v>
      </c>
      <c r="S40" s="51"/>
      <c r="T40" s="36" t="s">
        <v>47</v>
      </c>
      <c r="U40" s="52">
        <f>Q40-R40-(S40)</f>
        <v>8400</v>
      </c>
      <c r="V40" s="53"/>
      <c r="W40" s="54"/>
      <c r="X40" s="55" t="s">
        <v>82</v>
      </c>
      <c r="Y40" s="61" t="s">
        <v>83</v>
      </c>
      <c r="Z40" s="62"/>
      <c r="AA40">
        <f>VLOOKUP(C40,[1]Sheet1!$A$3:$A$141,1,0)</f>
        <v>1419070</v>
      </c>
      <c r="AB40">
        <f>VLOOKUP(C40,[2]Sheet1!$A$2:$A$556,1,0)</f>
        <v>1419070</v>
      </c>
      <c r="AC40" t="e">
        <f>VLOOKUP(C40,[3]MASTER!$D$2:$D$484,1,0)</f>
        <v>#N/A</v>
      </c>
    </row>
    <row r="41" spans="1:29" ht="15.6">
      <c r="A41" s="14">
        <v>9</v>
      </c>
      <c r="B41" s="15"/>
      <c r="C41" s="16">
        <v>1345250</v>
      </c>
      <c r="D41" s="73" t="s">
        <v>84</v>
      </c>
      <c r="E41" s="16" t="s">
        <v>46</v>
      </c>
      <c r="F41" s="17">
        <v>120</v>
      </c>
      <c r="G41" s="18"/>
      <c r="H41" s="18"/>
      <c r="I41" s="32"/>
      <c r="J41" s="33"/>
      <c r="K41" s="34"/>
      <c r="L41" s="35"/>
      <c r="M41" s="36"/>
      <c r="N41" s="40">
        <v>7351.4</v>
      </c>
      <c r="O41" s="41">
        <v>8160.0540000000001</v>
      </c>
      <c r="P41" s="42">
        <v>3.4313136094674498E-2</v>
      </c>
      <c r="Q41" s="33">
        <v>8450</v>
      </c>
      <c r="R41" s="57"/>
      <c r="S41" s="51"/>
      <c r="T41" s="36" t="s">
        <v>47</v>
      </c>
      <c r="U41" s="52">
        <f>Q41-R41-(S41)</f>
        <v>8450</v>
      </c>
      <c r="V41" s="53">
        <v>2000</v>
      </c>
      <c r="W41" s="54" t="s">
        <v>56</v>
      </c>
      <c r="X41" s="55" t="s">
        <v>42</v>
      </c>
      <c r="Y41" s="61"/>
      <c r="Z41" s="62"/>
      <c r="AA41" t="e">
        <f>VLOOKUP(C41,[1]Sheet1!$A$3:$A$141,1,0)</f>
        <v>#N/A</v>
      </c>
      <c r="AB41">
        <f>VLOOKUP(C41,[2]Sheet1!$A$2:$A$556,1,0)</f>
        <v>1345250</v>
      </c>
      <c r="AC41">
        <f>VLOOKUP(C41,[3]MASTER!$D$2:$D$484,1,0)</f>
        <v>1345250</v>
      </c>
    </row>
    <row r="42" spans="1:29" ht="15.6">
      <c r="A42" s="14">
        <v>10</v>
      </c>
      <c r="B42" s="15">
        <v>10003517</v>
      </c>
      <c r="C42" s="16">
        <v>60410</v>
      </c>
      <c r="D42" s="73" t="s">
        <v>85</v>
      </c>
      <c r="E42" s="16" t="s">
        <v>46</v>
      </c>
      <c r="F42" s="17">
        <v>40</v>
      </c>
      <c r="G42" s="18"/>
      <c r="H42" s="18"/>
      <c r="I42" s="32"/>
      <c r="J42" s="33"/>
      <c r="K42" s="34"/>
      <c r="L42" s="35"/>
      <c r="M42" s="36"/>
      <c r="N42" s="37">
        <v>103648.65</v>
      </c>
      <c r="O42" s="37">
        <v>115050.0015</v>
      </c>
      <c r="P42" s="38">
        <f t="shared" ref="P42:P71" si="12">(Q42-O42)/O42</f>
        <v>1.6949139283583596E-2</v>
      </c>
      <c r="Q42" s="33">
        <v>117000</v>
      </c>
      <c r="R42" s="34">
        <f>3000+2000</f>
        <v>5000</v>
      </c>
      <c r="S42" s="51">
        <v>0</v>
      </c>
      <c r="T42" s="36" t="s">
        <v>46</v>
      </c>
      <c r="U42" s="52">
        <f t="shared" ref="U42:U54" si="13">Q42-R42-(S42)</f>
        <v>112000</v>
      </c>
      <c r="V42" s="53">
        <v>2500</v>
      </c>
      <c r="W42" s="54" t="s">
        <v>72</v>
      </c>
      <c r="X42" s="55" t="s">
        <v>49</v>
      </c>
      <c r="Y42" s="61"/>
      <c r="Z42" s="62"/>
      <c r="AA42">
        <f>VLOOKUP(C42,[1]Sheet1!$A$3:$A$141,1,0)</f>
        <v>60410</v>
      </c>
      <c r="AB42">
        <f>VLOOKUP(C42,[2]Sheet1!$A$2:$A$556,1,0)</f>
        <v>60410</v>
      </c>
      <c r="AC42">
        <f>VLOOKUP(C42,[3]MASTER!$D$2:$D$484,1,0)</f>
        <v>60410</v>
      </c>
    </row>
    <row r="43" spans="1:29" ht="15.6">
      <c r="A43" s="14">
        <v>11</v>
      </c>
      <c r="B43" s="15">
        <v>20014281</v>
      </c>
      <c r="C43" s="16">
        <v>1166370</v>
      </c>
      <c r="D43" s="73" t="s">
        <v>86</v>
      </c>
      <c r="E43" s="16" t="s">
        <v>46</v>
      </c>
      <c r="F43" s="17">
        <v>200</v>
      </c>
      <c r="G43" s="18"/>
      <c r="H43" s="18"/>
      <c r="I43" s="32"/>
      <c r="J43" s="33"/>
      <c r="K43" s="34"/>
      <c r="L43" s="35"/>
      <c r="M43" s="36"/>
      <c r="N43" s="37">
        <v>14126.1</v>
      </c>
      <c r="O43" s="37">
        <v>15821.232</v>
      </c>
      <c r="P43" s="38">
        <f t="shared" si="12"/>
        <v>3.6581727642954733E-2</v>
      </c>
      <c r="Q43" s="33">
        <v>16400</v>
      </c>
      <c r="R43" s="34"/>
      <c r="S43" s="51">
        <v>500</v>
      </c>
      <c r="T43" s="36" t="s">
        <v>87</v>
      </c>
      <c r="U43" s="52">
        <f t="shared" si="13"/>
        <v>15900</v>
      </c>
      <c r="V43" s="53">
        <v>2000</v>
      </c>
      <c r="W43" s="54" t="s">
        <v>88</v>
      </c>
      <c r="X43" s="55" t="s">
        <v>49</v>
      </c>
      <c r="Y43" s="61" t="s">
        <v>89</v>
      </c>
      <c r="Z43" s="62"/>
      <c r="AA43" t="e">
        <f>VLOOKUP(C43,[1]Sheet1!$A$3:$A$141,1,0)</f>
        <v>#N/A</v>
      </c>
      <c r="AB43">
        <f>VLOOKUP(C43,[2]Sheet1!$A$2:$A$556,1,0)</f>
        <v>1166370</v>
      </c>
      <c r="AC43">
        <f>VLOOKUP(C43,[3]MASTER!$D$2:$D$484,1,0)</f>
        <v>1166370</v>
      </c>
    </row>
    <row r="44" spans="1:29" ht="15.6">
      <c r="A44" s="14">
        <v>12</v>
      </c>
      <c r="B44" s="15">
        <v>20015234</v>
      </c>
      <c r="C44" s="16">
        <v>1112170</v>
      </c>
      <c r="D44" s="73" t="s">
        <v>90</v>
      </c>
      <c r="E44" s="16" t="s">
        <v>46</v>
      </c>
      <c r="F44" s="17">
        <v>48</v>
      </c>
      <c r="G44" s="18"/>
      <c r="H44" s="18"/>
      <c r="I44" s="32"/>
      <c r="J44" s="33"/>
      <c r="K44" s="34"/>
      <c r="L44" s="35"/>
      <c r="M44" s="36"/>
      <c r="N44" s="37">
        <v>61578.239999999998</v>
      </c>
      <c r="O44" s="37">
        <v>68351.846399999995</v>
      </c>
      <c r="P44" s="38">
        <f t="shared" si="12"/>
        <v>0.10165275652304845</v>
      </c>
      <c r="Q44" s="33">
        <v>75300</v>
      </c>
      <c r="R44" s="34"/>
      <c r="S44" s="51">
        <v>1400</v>
      </c>
      <c r="T44" s="36" t="s">
        <v>36</v>
      </c>
      <c r="U44" s="52">
        <f t="shared" si="13"/>
        <v>73900</v>
      </c>
      <c r="V44" s="53">
        <v>3000</v>
      </c>
      <c r="W44" s="54" t="s">
        <v>56</v>
      </c>
      <c r="X44" s="55" t="s">
        <v>49</v>
      </c>
      <c r="Y44" s="61" t="s">
        <v>89</v>
      </c>
      <c r="Z44" s="62"/>
      <c r="AA44" t="e">
        <f>VLOOKUP(C44,[1]Sheet1!$A$3:$A$141,1,0)</f>
        <v>#N/A</v>
      </c>
      <c r="AB44">
        <f>VLOOKUP(C44,[2]Sheet1!$A$2:$A$556,1,0)</f>
        <v>1112170</v>
      </c>
      <c r="AC44">
        <f>VLOOKUP(C44,[3]MASTER!$D$2:$D$484,1,0)</f>
        <v>1112170</v>
      </c>
    </row>
    <row r="45" spans="1:29" ht="15.6">
      <c r="A45" s="14">
        <v>13</v>
      </c>
      <c r="B45" s="15">
        <v>20123853</v>
      </c>
      <c r="C45" s="16">
        <v>1487320</v>
      </c>
      <c r="D45" s="73" t="s">
        <v>91</v>
      </c>
      <c r="E45" s="16" t="s">
        <v>46</v>
      </c>
      <c r="F45" s="17">
        <v>80</v>
      </c>
      <c r="G45" s="18"/>
      <c r="H45" s="18"/>
      <c r="I45" s="32"/>
      <c r="J45" s="33"/>
      <c r="K45" s="34"/>
      <c r="L45" s="35"/>
      <c r="M45" s="36"/>
      <c r="N45" s="37">
        <v>3891.89</v>
      </c>
      <c r="O45" s="37">
        <v>4319.9979000000003</v>
      </c>
      <c r="P45" s="38">
        <f t="shared" si="12"/>
        <v>3.0093093332290669E-2</v>
      </c>
      <c r="Q45" s="33">
        <v>4450</v>
      </c>
      <c r="R45" s="34"/>
      <c r="S45" s="51">
        <v>100</v>
      </c>
      <c r="T45" s="36" t="s">
        <v>47</v>
      </c>
      <c r="U45" s="52">
        <f t="shared" si="13"/>
        <v>4350</v>
      </c>
      <c r="V45" s="53"/>
      <c r="W45" s="54"/>
      <c r="X45" s="55" t="s">
        <v>49</v>
      </c>
      <c r="Y45" s="61" t="s">
        <v>89</v>
      </c>
      <c r="Z45" s="62"/>
      <c r="AA45">
        <f>VLOOKUP(C45,[1]Sheet1!$A$3:$A$141,1,0)</f>
        <v>1487320</v>
      </c>
      <c r="AB45" t="e">
        <f>VLOOKUP(C45,[2]Sheet1!$A$2:$A$556,1,0)</f>
        <v>#N/A</v>
      </c>
      <c r="AC45" t="e">
        <f>VLOOKUP(C45,[3]MASTER!$D$2:$D$484,1,0)</f>
        <v>#N/A</v>
      </c>
    </row>
    <row r="46" spans="1:29" ht="15.6">
      <c r="A46" s="14">
        <v>14</v>
      </c>
      <c r="B46" s="15">
        <v>20005008</v>
      </c>
      <c r="C46" s="16">
        <v>1534250</v>
      </c>
      <c r="D46" s="73" t="s">
        <v>92</v>
      </c>
      <c r="E46" s="16" t="s">
        <v>46</v>
      </c>
      <c r="F46" s="17">
        <v>36</v>
      </c>
      <c r="G46" s="18"/>
      <c r="H46" s="18"/>
      <c r="I46" s="32"/>
      <c r="J46" s="33"/>
      <c r="K46" s="34"/>
      <c r="L46" s="35"/>
      <c r="M46" s="36"/>
      <c r="N46" s="37">
        <v>5444.24</v>
      </c>
      <c r="O46" s="37">
        <v>6043.1063999999997</v>
      </c>
      <c r="P46" s="38">
        <f t="shared" si="12"/>
        <v>0.10042742255870266</v>
      </c>
      <c r="Q46" s="33">
        <v>6650</v>
      </c>
      <c r="R46" s="34"/>
      <c r="S46" s="51">
        <v>150</v>
      </c>
      <c r="T46" s="36" t="s">
        <v>47</v>
      </c>
      <c r="U46" s="52">
        <f t="shared" si="13"/>
        <v>6500</v>
      </c>
      <c r="V46" s="53">
        <v>6000</v>
      </c>
      <c r="W46" s="54" t="s">
        <v>56</v>
      </c>
      <c r="X46" s="55" t="s">
        <v>49</v>
      </c>
      <c r="Y46" s="61" t="s">
        <v>89</v>
      </c>
      <c r="Z46" s="62"/>
      <c r="AA46" t="e">
        <f>VLOOKUP(C46,[1]Sheet1!$A$3:$A$141,1,0)</f>
        <v>#N/A</v>
      </c>
      <c r="AB46">
        <f>VLOOKUP(C46,[2]Sheet1!$A$2:$A$556,1,0)</f>
        <v>1534250</v>
      </c>
      <c r="AC46">
        <f>VLOOKUP(C46,[3]MASTER!$D$2:$D$484,1,0)</f>
        <v>1534250</v>
      </c>
    </row>
    <row r="47" spans="1:29" ht="15.6">
      <c r="A47" s="14">
        <v>15</v>
      </c>
      <c r="B47" s="15">
        <v>10003696</v>
      </c>
      <c r="C47" s="16">
        <v>1014050</v>
      </c>
      <c r="D47" s="73" t="s">
        <v>93</v>
      </c>
      <c r="E47" s="16" t="s">
        <v>46</v>
      </c>
      <c r="F47" s="17">
        <v>48</v>
      </c>
      <c r="G47" s="18"/>
      <c r="H47" s="18"/>
      <c r="I47" s="32"/>
      <c r="J47" s="33"/>
      <c r="K47" s="34"/>
      <c r="L47" s="35"/>
      <c r="M47" s="36"/>
      <c r="N47" s="37">
        <v>10551.35</v>
      </c>
      <c r="O47" s="37">
        <v>11711.9985</v>
      </c>
      <c r="P47" s="38">
        <f t="shared" si="12"/>
        <v>3.3128547617214968E-2</v>
      </c>
      <c r="Q47" s="33">
        <v>12100</v>
      </c>
      <c r="R47" s="34"/>
      <c r="S47" s="51">
        <v>250</v>
      </c>
      <c r="T47" s="36" t="s">
        <v>47</v>
      </c>
      <c r="U47" s="52">
        <f t="shared" si="13"/>
        <v>11850</v>
      </c>
      <c r="V47" s="53"/>
      <c r="W47" s="54"/>
      <c r="X47" s="55" t="s">
        <v>49</v>
      </c>
      <c r="Y47" s="61" t="s">
        <v>89</v>
      </c>
      <c r="Z47" s="62"/>
      <c r="AA47">
        <f>VLOOKUP(C47,[1]Sheet1!$A$3:$A$141,1,0)</f>
        <v>1014050</v>
      </c>
      <c r="AB47">
        <f>VLOOKUP(C47,[2]Sheet1!$A$2:$A$556,1,0)</f>
        <v>1014050</v>
      </c>
      <c r="AC47" t="e">
        <f>VLOOKUP(C47,[3]MASTER!$D$2:$D$484,1,0)</f>
        <v>#N/A</v>
      </c>
    </row>
    <row r="48" spans="1:29" ht="15.6">
      <c r="A48" s="14">
        <v>16</v>
      </c>
      <c r="B48" s="15">
        <v>20138358</v>
      </c>
      <c r="C48" s="16">
        <v>1586540</v>
      </c>
      <c r="D48" s="73" t="s">
        <v>94</v>
      </c>
      <c r="E48" s="16" t="s">
        <v>47</v>
      </c>
      <c r="F48" s="17">
        <v>1</v>
      </c>
      <c r="G48" s="18"/>
      <c r="H48" s="18"/>
      <c r="I48" s="32"/>
      <c r="J48" s="33"/>
      <c r="K48" s="34"/>
      <c r="L48" s="35"/>
      <c r="M48" s="36"/>
      <c r="N48" s="37">
        <v>103648.8</v>
      </c>
      <c r="O48" s="37">
        <v>115050.16800000001</v>
      </c>
      <c r="P48" s="38">
        <f t="shared" si="12"/>
        <v>4.3023248779610598E-2</v>
      </c>
      <c r="Q48" s="33">
        <v>120000</v>
      </c>
      <c r="R48" s="34">
        <v>8000</v>
      </c>
      <c r="S48" s="51"/>
      <c r="T48" s="36" t="s">
        <v>46</v>
      </c>
      <c r="U48" s="52">
        <f t="shared" si="13"/>
        <v>112000</v>
      </c>
      <c r="V48" s="53"/>
      <c r="W48" s="54"/>
      <c r="X48" s="55" t="s">
        <v>49</v>
      </c>
      <c r="Y48" s="61" t="s">
        <v>89</v>
      </c>
      <c r="Z48" s="62"/>
      <c r="AA48" t="e">
        <f>VLOOKUP(C48,[1]Sheet1!$A$3:$A$141,1,0)</f>
        <v>#N/A</v>
      </c>
      <c r="AB48" t="e">
        <f>VLOOKUP(C48,[2]Sheet1!$A$2:$A$556,1,0)</f>
        <v>#N/A</v>
      </c>
      <c r="AC48">
        <f>VLOOKUP(C48,[3]MASTER!$D$2:$D$484,1,0)</f>
        <v>1586540</v>
      </c>
    </row>
    <row r="49" spans="1:29" ht="15.6">
      <c r="A49" s="14"/>
      <c r="B49" s="15">
        <v>20101747</v>
      </c>
      <c r="C49" s="16">
        <v>1504580</v>
      </c>
      <c r="D49" s="73" t="s">
        <v>95</v>
      </c>
      <c r="E49" s="16" t="s">
        <v>47</v>
      </c>
      <c r="F49" s="17">
        <v>1</v>
      </c>
      <c r="G49" s="18"/>
      <c r="H49" s="18"/>
      <c r="I49" s="32"/>
      <c r="J49" s="33"/>
      <c r="K49" s="34"/>
      <c r="L49" s="35"/>
      <c r="M49" s="36"/>
      <c r="N49" s="37">
        <v>98851.199999999997</v>
      </c>
      <c r="O49" s="37">
        <v>109724.83199999999</v>
      </c>
      <c r="P49" s="38">
        <f t="shared" si="12"/>
        <v>9.3644873386545771E-2</v>
      </c>
      <c r="Q49" s="33">
        <v>120000</v>
      </c>
      <c r="R49" s="34">
        <v>8000</v>
      </c>
      <c r="S49" s="51"/>
      <c r="T49" s="36" t="s">
        <v>46</v>
      </c>
      <c r="U49" s="52">
        <f t="shared" si="13"/>
        <v>112000</v>
      </c>
      <c r="V49" s="53"/>
      <c r="W49" s="54"/>
      <c r="X49" s="55" t="s">
        <v>49</v>
      </c>
      <c r="Y49" s="61" t="s">
        <v>89</v>
      </c>
      <c r="Z49" s="62"/>
      <c r="AA49" t="e">
        <f>VLOOKUP(C49,[1]Sheet1!$A$3:$A$141,1,0)</f>
        <v>#N/A</v>
      </c>
      <c r="AB49" t="e">
        <f>VLOOKUP(C49,[2]Sheet1!$A$2:$A$556,1,0)</f>
        <v>#N/A</v>
      </c>
      <c r="AC49" t="e">
        <f>VLOOKUP(C49,[3]MASTER!$D$2:$D$484,1,0)</f>
        <v>#N/A</v>
      </c>
    </row>
    <row r="50" spans="1:29" ht="15.6">
      <c r="A50" s="14"/>
      <c r="B50" s="15">
        <v>20093221</v>
      </c>
      <c r="C50" s="16">
        <v>1472290</v>
      </c>
      <c r="D50" s="73" t="s">
        <v>96</v>
      </c>
      <c r="E50" s="16" t="s">
        <v>47</v>
      </c>
      <c r="F50" s="17">
        <v>1</v>
      </c>
      <c r="G50" s="18"/>
      <c r="H50" s="18"/>
      <c r="I50" s="32"/>
      <c r="J50" s="33"/>
      <c r="K50" s="34"/>
      <c r="L50" s="35"/>
      <c r="M50" s="36"/>
      <c r="N50" s="37">
        <v>103648.8</v>
      </c>
      <c r="O50" s="37">
        <v>115050.16800000001</v>
      </c>
      <c r="P50" s="38">
        <f t="shared" si="12"/>
        <v>4.3023248779610598E-2</v>
      </c>
      <c r="Q50" s="33">
        <v>120000</v>
      </c>
      <c r="R50" s="34">
        <v>8000</v>
      </c>
      <c r="S50" s="51"/>
      <c r="T50" s="36" t="s">
        <v>46</v>
      </c>
      <c r="U50" s="52">
        <f t="shared" si="13"/>
        <v>112000</v>
      </c>
      <c r="V50" s="53"/>
      <c r="W50" s="54"/>
      <c r="X50" s="55" t="s">
        <v>49</v>
      </c>
      <c r="Y50" s="61" t="s">
        <v>89</v>
      </c>
      <c r="Z50" s="62"/>
      <c r="AA50">
        <f>VLOOKUP(C50,[1]Sheet1!$A$3:$A$141,1,0)</f>
        <v>1472290</v>
      </c>
      <c r="AB50">
        <f>VLOOKUP(C50,[2]Sheet1!$A$2:$A$556,1,0)</f>
        <v>1472290</v>
      </c>
      <c r="AC50">
        <f>VLOOKUP(C50,[3]MASTER!$D$2:$D$484,1,0)</f>
        <v>1472290</v>
      </c>
    </row>
    <row r="51" spans="1:29" ht="15.6">
      <c r="A51" s="14">
        <v>17</v>
      </c>
      <c r="B51" s="72" t="s">
        <v>97</v>
      </c>
      <c r="C51" s="16">
        <v>1501130</v>
      </c>
      <c r="D51" s="73" t="s">
        <v>98</v>
      </c>
      <c r="E51" s="16" t="s">
        <v>46</v>
      </c>
      <c r="F51" s="17">
        <v>60</v>
      </c>
      <c r="G51" s="18">
        <f>1605*F51</f>
        <v>96300</v>
      </c>
      <c r="H51" s="18"/>
      <c r="I51" s="32"/>
      <c r="J51" s="33"/>
      <c r="K51" s="34"/>
      <c r="L51" s="35"/>
      <c r="M51" s="36"/>
      <c r="N51" s="37">
        <v>96300</v>
      </c>
      <c r="O51" s="37">
        <v>106893</v>
      </c>
      <c r="P51" s="38">
        <f t="shared" si="12"/>
        <v>3.3744024398230009E-2</v>
      </c>
      <c r="Q51" s="33">
        <v>110500</v>
      </c>
      <c r="R51" s="34">
        <v>10500</v>
      </c>
      <c r="S51" s="51"/>
      <c r="T51" s="36" t="s">
        <v>46</v>
      </c>
      <c r="U51" s="52">
        <f t="shared" si="13"/>
        <v>100000</v>
      </c>
      <c r="V51" s="53">
        <v>2000</v>
      </c>
      <c r="W51" s="54" t="s">
        <v>56</v>
      </c>
      <c r="X51" s="55" t="s">
        <v>60</v>
      </c>
      <c r="Y51" s="61" t="s">
        <v>99</v>
      </c>
      <c r="Z51" s="62"/>
      <c r="AA51">
        <f>VLOOKUP(C51,[1]Sheet1!$A$3:$A$141,1,0)</f>
        <v>1501130</v>
      </c>
      <c r="AB51">
        <f>VLOOKUP(C51,[2]Sheet1!$A$2:$A$556,1,0)</f>
        <v>1501130</v>
      </c>
      <c r="AC51">
        <f>VLOOKUP(C51,[3]MASTER!$D$2:$D$484,1,0)</f>
        <v>1501130</v>
      </c>
    </row>
    <row r="52" spans="1:29" ht="15.6">
      <c r="A52" s="14"/>
      <c r="B52" s="72" t="s">
        <v>100</v>
      </c>
      <c r="C52" s="16">
        <v>1746720</v>
      </c>
      <c r="D52" s="73" t="s">
        <v>101</v>
      </c>
      <c r="E52" s="16" t="s">
        <v>46</v>
      </c>
      <c r="F52" s="17">
        <v>60</v>
      </c>
      <c r="G52" s="18">
        <f>2334.38*60</f>
        <v>140062.80000000002</v>
      </c>
      <c r="H52" s="18"/>
      <c r="I52" s="32"/>
      <c r="J52" s="33"/>
      <c r="K52" s="34"/>
      <c r="L52" s="35"/>
      <c r="M52" s="36"/>
      <c r="N52" s="37">
        <v>140062.79999999999</v>
      </c>
      <c r="O52" s="37">
        <v>155469.70800000001</v>
      </c>
      <c r="P52" s="38">
        <f t="shared" si="12"/>
        <v>4.200362941441934E-2</v>
      </c>
      <c r="Q52" s="33">
        <v>162000</v>
      </c>
      <c r="R52" s="34">
        <v>16000</v>
      </c>
      <c r="S52" s="51"/>
      <c r="T52" s="36" t="s">
        <v>46</v>
      </c>
      <c r="U52" s="52">
        <f t="shared" si="13"/>
        <v>146000</v>
      </c>
      <c r="V52" s="53">
        <v>2000</v>
      </c>
      <c r="W52" s="54" t="s">
        <v>56</v>
      </c>
      <c r="X52" s="55" t="s">
        <v>102</v>
      </c>
      <c r="Y52" s="61" t="s">
        <v>103</v>
      </c>
      <c r="Z52" s="62"/>
      <c r="AA52" t="e">
        <f>VLOOKUP(C52,[1]Sheet1!$A$3:$A$141,1,0)</f>
        <v>#N/A</v>
      </c>
      <c r="AB52" t="e">
        <f>VLOOKUP(C52,[2]Sheet1!$A$2:$A$556,1,0)</f>
        <v>#N/A</v>
      </c>
      <c r="AC52">
        <f>VLOOKUP(C52,[3]MASTER!$D$2:$D$484,1,0)</f>
        <v>1746720</v>
      </c>
    </row>
    <row r="53" spans="1:29" ht="15.6">
      <c r="A53" s="14">
        <v>18</v>
      </c>
      <c r="B53" s="15">
        <v>10001799</v>
      </c>
      <c r="C53" s="16">
        <v>453710</v>
      </c>
      <c r="D53" s="73" t="s">
        <v>104</v>
      </c>
      <c r="E53" s="16" t="s">
        <v>46</v>
      </c>
      <c r="F53" s="17">
        <v>60</v>
      </c>
      <c r="G53" s="18"/>
      <c r="H53" s="18"/>
      <c r="I53" s="32"/>
      <c r="J53" s="33"/>
      <c r="K53" s="34"/>
      <c r="L53" s="35"/>
      <c r="M53" s="36"/>
      <c r="N53" s="37">
        <v>96300</v>
      </c>
      <c r="O53" s="37">
        <v>106893</v>
      </c>
      <c r="P53" s="38">
        <f t="shared" si="12"/>
        <v>3.3744024398230009E-2</v>
      </c>
      <c r="Q53" s="33">
        <v>110500</v>
      </c>
      <c r="R53" s="34">
        <v>10500</v>
      </c>
      <c r="S53" s="51"/>
      <c r="T53" s="36" t="s">
        <v>46</v>
      </c>
      <c r="U53" s="52">
        <f t="shared" si="13"/>
        <v>100000</v>
      </c>
      <c r="V53" s="53">
        <v>2000</v>
      </c>
      <c r="W53" s="54" t="s">
        <v>56</v>
      </c>
      <c r="X53" s="55" t="s">
        <v>60</v>
      </c>
      <c r="Y53" s="61" t="s">
        <v>99</v>
      </c>
      <c r="Z53" s="62"/>
      <c r="AA53" t="e">
        <f>VLOOKUP(C53,[1]Sheet1!$A$3:$A$141,1,0)</f>
        <v>#N/A</v>
      </c>
      <c r="AB53">
        <f>VLOOKUP(C53,[2]Sheet1!$A$2:$A$556,1,0)</f>
        <v>453710</v>
      </c>
      <c r="AC53">
        <f>VLOOKUP(C53,[3]MASTER!$D$2:$D$484,1,0)</f>
        <v>453710</v>
      </c>
    </row>
    <row r="54" spans="1:29" ht="15.6">
      <c r="A54" s="14"/>
      <c r="B54" s="15">
        <v>20128513</v>
      </c>
      <c r="C54" s="16">
        <v>1700260</v>
      </c>
      <c r="D54" s="73" t="s">
        <v>105</v>
      </c>
      <c r="E54" s="16" t="s">
        <v>46</v>
      </c>
      <c r="F54" s="17">
        <v>60</v>
      </c>
      <c r="G54" s="18"/>
      <c r="H54" s="18"/>
      <c r="I54" s="32"/>
      <c r="J54" s="33"/>
      <c r="K54" s="34"/>
      <c r="L54" s="35"/>
      <c r="M54" s="36"/>
      <c r="N54" s="43">
        <v>140063</v>
      </c>
      <c r="O54" s="43">
        <v>155470</v>
      </c>
      <c r="P54" s="38">
        <f t="shared" si="12"/>
        <v>4.200167234836303E-2</v>
      </c>
      <c r="Q54" s="58">
        <v>162000</v>
      </c>
      <c r="R54" s="34">
        <v>16000</v>
      </c>
      <c r="S54" s="51"/>
      <c r="T54" s="36" t="s">
        <v>46</v>
      </c>
      <c r="U54" s="52">
        <f t="shared" si="13"/>
        <v>146000</v>
      </c>
      <c r="V54" s="53">
        <v>2000</v>
      </c>
      <c r="W54" s="54" t="s">
        <v>56</v>
      </c>
      <c r="X54" s="55" t="s">
        <v>102</v>
      </c>
      <c r="Y54" s="61" t="s">
        <v>103</v>
      </c>
      <c r="Z54" s="62"/>
      <c r="AA54" t="e">
        <f>VLOOKUP(C54,[1]Sheet1!$A$3:$A$141,1,0)</f>
        <v>#N/A</v>
      </c>
      <c r="AB54" t="e">
        <f>VLOOKUP(C54,[2]Sheet1!$A$2:$A$556,1,0)</f>
        <v>#N/A</v>
      </c>
      <c r="AC54">
        <f>VLOOKUP(C54,[3]MASTER!$D$2:$D$484,1,0)</f>
        <v>1700260</v>
      </c>
    </row>
    <row r="55" spans="1:29" ht="15.6">
      <c r="A55" s="14">
        <v>19</v>
      </c>
      <c r="B55" s="72" t="s">
        <v>106</v>
      </c>
      <c r="C55" s="16">
        <v>1666510</v>
      </c>
      <c r="D55" s="73" t="s">
        <v>107</v>
      </c>
      <c r="E55" s="16" t="s">
        <v>46</v>
      </c>
      <c r="F55" s="17">
        <v>12</v>
      </c>
      <c r="G55" s="18"/>
      <c r="H55" s="18"/>
      <c r="I55" s="32"/>
      <c r="J55" s="33"/>
      <c r="K55" s="34"/>
      <c r="L55" s="35"/>
      <c r="M55" s="36"/>
      <c r="N55" s="18">
        <v>172918.92</v>
      </c>
      <c r="O55" s="18">
        <v>191940.0012</v>
      </c>
      <c r="P55" s="38">
        <f t="shared" si="12"/>
        <v>2.0631440946349236E-2</v>
      </c>
      <c r="Q55" s="33">
        <v>195900</v>
      </c>
      <c r="R55" s="34">
        <v>0</v>
      </c>
      <c r="S55" s="51">
        <v>2000</v>
      </c>
      <c r="T55" s="36" t="s">
        <v>46</v>
      </c>
      <c r="U55" s="52">
        <f t="shared" ref="U55:U75" si="14">Q55-R55-(S55)</f>
        <v>193900</v>
      </c>
      <c r="V55" s="53"/>
      <c r="W55" s="54"/>
      <c r="X55" s="55" t="s">
        <v>60</v>
      </c>
      <c r="Y55" s="61" t="s">
        <v>108</v>
      </c>
      <c r="Z55" s="62"/>
      <c r="AA55">
        <f>VLOOKUP(C55,[1]Sheet1!$A$3:$A$141,1,0)</f>
        <v>1666510</v>
      </c>
      <c r="AB55">
        <f>VLOOKUP(C55,[2]Sheet1!$A$2:$A$556,1,0)</f>
        <v>1666510</v>
      </c>
      <c r="AC55">
        <f>VLOOKUP(C55,[3]MASTER!$D$2:$D$484,1,0)</f>
        <v>1666510</v>
      </c>
    </row>
    <row r="56" spans="1:29" ht="15.6">
      <c r="A56" s="14">
        <v>19</v>
      </c>
      <c r="B56" s="72" t="s">
        <v>106</v>
      </c>
      <c r="C56" s="16">
        <v>1666510</v>
      </c>
      <c r="D56" s="73" t="s">
        <v>107</v>
      </c>
      <c r="E56" s="16" t="s">
        <v>46</v>
      </c>
      <c r="F56" s="17">
        <v>12</v>
      </c>
      <c r="G56" s="18"/>
      <c r="H56" s="18"/>
      <c r="I56" s="32"/>
      <c r="J56" s="33"/>
      <c r="K56" s="34"/>
      <c r="L56" s="35"/>
      <c r="M56" s="36"/>
      <c r="N56" s="18">
        <v>172918.92</v>
      </c>
      <c r="O56" s="18">
        <v>191940.0012</v>
      </c>
      <c r="P56" s="38">
        <f t="shared" si="12"/>
        <v>3.1051363773774956E-2</v>
      </c>
      <c r="Q56" s="33">
        <v>197900</v>
      </c>
      <c r="R56" s="34">
        <v>0</v>
      </c>
      <c r="S56" s="51">
        <v>2000</v>
      </c>
      <c r="T56" s="36" t="s">
        <v>46</v>
      </c>
      <c r="U56" s="52">
        <f t="shared" ref="U56" si="15">Q56-R56-(S56)</f>
        <v>195900</v>
      </c>
      <c r="V56" s="53"/>
      <c r="W56" s="54"/>
      <c r="X56" s="55" t="s">
        <v>109</v>
      </c>
      <c r="Y56" s="61" t="s">
        <v>108</v>
      </c>
      <c r="Z56" s="62"/>
      <c r="AA56">
        <f>VLOOKUP(C56,[1]Sheet1!$A$3:$A$141,1,0)</f>
        <v>1666510</v>
      </c>
      <c r="AB56">
        <f>VLOOKUP(C56,[2]Sheet1!$A$2:$A$556,1,0)</f>
        <v>1666510</v>
      </c>
      <c r="AC56">
        <f>VLOOKUP(C56,[3]MASTER!$D$2:$D$484,1,0)</f>
        <v>1666510</v>
      </c>
    </row>
    <row r="57" spans="1:29" ht="15.6">
      <c r="A57" s="14">
        <v>20</v>
      </c>
      <c r="B57" s="72" t="s">
        <v>110</v>
      </c>
      <c r="C57" s="16">
        <v>1579020</v>
      </c>
      <c r="D57" s="73" t="s">
        <v>111</v>
      </c>
      <c r="E57" s="16" t="s">
        <v>46</v>
      </c>
      <c r="F57" s="17">
        <v>12</v>
      </c>
      <c r="G57" s="18"/>
      <c r="H57" s="18"/>
      <c r="I57" s="32"/>
      <c r="J57" s="33"/>
      <c r="K57" s="34"/>
      <c r="L57" s="35"/>
      <c r="M57" s="36"/>
      <c r="N57" s="18">
        <v>172918.92</v>
      </c>
      <c r="O57" s="18">
        <v>191940.0012</v>
      </c>
      <c r="P57" s="38">
        <f t="shared" si="12"/>
        <v>2.0631440946349236E-2</v>
      </c>
      <c r="Q57" s="33">
        <v>195900</v>
      </c>
      <c r="R57" s="34"/>
      <c r="S57" s="51">
        <v>2000</v>
      </c>
      <c r="T57" s="36" t="s">
        <v>46</v>
      </c>
      <c r="U57" s="52">
        <f t="shared" si="14"/>
        <v>193900</v>
      </c>
      <c r="V57" s="53"/>
      <c r="W57" s="54"/>
      <c r="X57" s="55" t="s">
        <v>60</v>
      </c>
      <c r="Y57" s="61" t="s">
        <v>108</v>
      </c>
      <c r="Z57" s="62"/>
      <c r="AA57">
        <f>VLOOKUP(C57,[1]Sheet1!$A$3:$A$141,1,0)</f>
        <v>1579020</v>
      </c>
      <c r="AB57">
        <f>VLOOKUP(C57,[2]Sheet1!$A$2:$A$556,1,0)</f>
        <v>1579020</v>
      </c>
      <c r="AC57">
        <f>VLOOKUP(C57,[3]MASTER!$D$2:$D$484,1,0)</f>
        <v>1579020</v>
      </c>
    </row>
    <row r="58" spans="1:29" ht="15.6">
      <c r="A58" s="14"/>
      <c r="B58" s="72" t="s">
        <v>110</v>
      </c>
      <c r="C58" s="16">
        <v>1579020</v>
      </c>
      <c r="D58" s="73" t="s">
        <v>111</v>
      </c>
      <c r="E58" s="16" t="s">
        <v>46</v>
      </c>
      <c r="F58" s="17">
        <v>12</v>
      </c>
      <c r="G58" s="18"/>
      <c r="H58" s="18"/>
      <c r="I58" s="32"/>
      <c r="J58" s="33"/>
      <c r="K58" s="34"/>
      <c r="L58" s="35"/>
      <c r="M58" s="36"/>
      <c r="N58" s="18">
        <v>172918.92</v>
      </c>
      <c r="O58" s="18">
        <v>191940.0012</v>
      </c>
      <c r="P58" s="38">
        <f t="shared" si="12"/>
        <v>3.1051363773774956E-2</v>
      </c>
      <c r="Q58" s="33">
        <v>197900</v>
      </c>
      <c r="R58" s="34"/>
      <c r="S58" s="51">
        <v>2000</v>
      </c>
      <c r="T58" s="36" t="s">
        <v>46</v>
      </c>
      <c r="U58" s="52">
        <f t="shared" si="14"/>
        <v>195900</v>
      </c>
      <c r="V58" s="53"/>
      <c r="W58" s="54"/>
      <c r="X58" s="55" t="s">
        <v>109</v>
      </c>
      <c r="Y58" s="61" t="s">
        <v>108</v>
      </c>
      <c r="Z58" s="62"/>
      <c r="AA58">
        <f>VLOOKUP(C58,[1]Sheet1!$A$3:$A$141,1,0)</f>
        <v>1579020</v>
      </c>
      <c r="AB58">
        <f>VLOOKUP(C58,[2]Sheet1!$A$2:$A$556,1,0)</f>
        <v>1579020</v>
      </c>
      <c r="AC58">
        <f>VLOOKUP(C58,[3]MASTER!$D$2:$D$484,1,0)</f>
        <v>1579020</v>
      </c>
    </row>
    <row r="59" spans="1:29" ht="15.6">
      <c r="A59" s="14">
        <v>21</v>
      </c>
      <c r="B59" s="15" t="s">
        <v>112</v>
      </c>
      <c r="C59" s="16">
        <v>1273740</v>
      </c>
      <c r="D59" s="73" t="s">
        <v>113</v>
      </c>
      <c r="E59" s="16" t="s">
        <v>46</v>
      </c>
      <c r="F59" s="17">
        <v>120</v>
      </c>
      <c r="G59" s="18"/>
      <c r="H59" s="18"/>
      <c r="I59" s="32"/>
      <c r="J59" s="33"/>
      <c r="K59" s="34"/>
      <c r="L59" s="35"/>
      <c r="M59" s="36"/>
      <c r="N59" s="18">
        <v>237405.17</v>
      </c>
      <c r="O59" s="18">
        <v>263519.73869999999</v>
      </c>
      <c r="P59" s="38">
        <f t="shared" si="12"/>
        <v>2.2693788820154191E-2</v>
      </c>
      <c r="Q59" s="33">
        <v>269500</v>
      </c>
      <c r="R59" s="34">
        <v>0</v>
      </c>
      <c r="S59" s="51">
        <v>5500</v>
      </c>
      <c r="T59" s="36" t="s">
        <v>46</v>
      </c>
      <c r="U59" s="52">
        <f t="shared" si="14"/>
        <v>264000</v>
      </c>
      <c r="V59" s="53"/>
      <c r="W59" s="54"/>
      <c r="X59" s="55" t="s">
        <v>60</v>
      </c>
      <c r="Y59" s="61" t="s">
        <v>108</v>
      </c>
      <c r="Z59" s="62"/>
      <c r="AA59">
        <f>VLOOKUP(C59,[1]Sheet1!$A$3:$A$141,1,0)</f>
        <v>1273740</v>
      </c>
      <c r="AB59">
        <f>VLOOKUP(C59,[2]Sheet1!$A$2:$A$556,1,0)</f>
        <v>1273740</v>
      </c>
      <c r="AC59">
        <f>VLOOKUP(C59,[3]MASTER!$D$2:$D$484,1,0)</f>
        <v>1273740</v>
      </c>
    </row>
    <row r="60" spans="1:29" ht="15.6">
      <c r="A60" s="14"/>
      <c r="B60" s="15" t="s">
        <v>112</v>
      </c>
      <c r="C60" s="16">
        <v>1273740</v>
      </c>
      <c r="D60" s="73" t="s">
        <v>113</v>
      </c>
      <c r="E60" s="16" t="s">
        <v>46</v>
      </c>
      <c r="F60" s="17">
        <v>120</v>
      </c>
      <c r="G60" s="18"/>
      <c r="H60" s="18"/>
      <c r="I60" s="32"/>
      <c r="J60" s="33"/>
      <c r="K60" s="34"/>
      <c r="L60" s="35"/>
      <c r="M60" s="36"/>
      <c r="N60" s="18">
        <v>237405.17</v>
      </c>
      <c r="O60" s="18">
        <v>263519.73869999999</v>
      </c>
      <c r="P60" s="38">
        <f t="shared" si="12"/>
        <v>2.2693788820154191E-2</v>
      </c>
      <c r="Q60" s="33">
        <v>269500</v>
      </c>
      <c r="R60" s="34">
        <v>0</v>
      </c>
      <c r="S60" s="51">
        <v>4500</v>
      </c>
      <c r="T60" s="36" t="s">
        <v>46</v>
      </c>
      <c r="U60" s="52">
        <f t="shared" si="14"/>
        <v>265000</v>
      </c>
      <c r="V60" s="53"/>
      <c r="W60" s="54"/>
      <c r="X60" s="55" t="s">
        <v>109</v>
      </c>
      <c r="Y60" s="61" t="s">
        <v>108</v>
      </c>
      <c r="Z60" s="62"/>
      <c r="AA60">
        <f>VLOOKUP(C60,[1]Sheet1!$A$3:$A$141,1,0)</f>
        <v>1273740</v>
      </c>
      <c r="AB60">
        <f>VLOOKUP(C60,[2]Sheet1!$A$2:$A$556,1,0)</f>
        <v>1273740</v>
      </c>
      <c r="AC60">
        <f>VLOOKUP(C60,[3]MASTER!$D$2:$D$484,1,0)</f>
        <v>1273740</v>
      </c>
    </row>
    <row r="61" spans="1:29" ht="15.6">
      <c r="A61" s="14">
        <v>22</v>
      </c>
      <c r="B61" s="72" t="s">
        <v>114</v>
      </c>
      <c r="C61" s="16">
        <v>1623700</v>
      </c>
      <c r="D61" s="73" t="s">
        <v>115</v>
      </c>
      <c r="E61" s="16" t="s">
        <v>46</v>
      </c>
      <c r="F61" s="17">
        <v>12</v>
      </c>
      <c r="G61" s="18"/>
      <c r="H61" s="18"/>
      <c r="I61" s="32"/>
      <c r="J61" s="33"/>
      <c r="K61" s="34"/>
      <c r="L61" s="35"/>
      <c r="M61" s="36"/>
      <c r="N61" s="18">
        <v>150907.56</v>
      </c>
      <c r="O61" s="18">
        <v>167507.3916</v>
      </c>
      <c r="P61" s="38">
        <f t="shared" si="12"/>
        <v>1.4880587514324337E-2</v>
      </c>
      <c r="Q61" s="33">
        <v>170000</v>
      </c>
      <c r="R61" s="34">
        <v>2000</v>
      </c>
      <c r="S61" s="51">
        <v>1000</v>
      </c>
      <c r="T61" s="36" t="s">
        <v>46</v>
      </c>
      <c r="U61" s="52">
        <f t="shared" si="14"/>
        <v>167000</v>
      </c>
      <c r="V61" s="53"/>
      <c r="W61" s="54"/>
      <c r="X61" s="55" t="s">
        <v>42</v>
      </c>
      <c r="Y61" s="61" t="s">
        <v>108</v>
      </c>
      <c r="Z61" s="62"/>
      <c r="AA61">
        <f>VLOOKUP(C61,[1]Sheet1!$A$3:$A$141,1,0)</f>
        <v>1623700</v>
      </c>
      <c r="AB61">
        <f>VLOOKUP(C61,[2]Sheet1!$A$2:$A$556,1,0)</f>
        <v>1623700</v>
      </c>
      <c r="AC61">
        <f>VLOOKUP(C61,[3]MASTER!$D$2:$D$484,1,0)</f>
        <v>1623700</v>
      </c>
    </row>
    <row r="62" spans="1:29" ht="15.6">
      <c r="A62" s="14">
        <v>23</v>
      </c>
      <c r="B62" s="15">
        <v>10015114</v>
      </c>
      <c r="C62" s="16">
        <v>431090</v>
      </c>
      <c r="D62" s="73" t="s">
        <v>116</v>
      </c>
      <c r="E62" s="16" t="s">
        <v>46</v>
      </c>
      <c r="F62" s="17">
        <v>5</v>
      </c>
      <c r="G62" s="18"/>
      <c r="H62" s="18"/>
      <c r="I62" s="32"/>
      <c r="J62" s="33"/>
      <c r="K62" s="34"/>
      <c r="L62" s="35"/>
      <c r="M62" s="36"/>
      <c r="N62" s="18">
        <v>127528.36</v>
      </c>
      <c r="O62" s="18">
        <v>141556.47959999999</v>
      </c>
      <c r="P62" s="38">
        <f t="shared" si="12"/>
        <v>3.1390441557717357E-2</v>
      </c>
      <c r="Q62" s="33">
        <v>146000</v>
      </c>
      <c r="R62" s="34">
        <v>0</v>
      </c>
      <c r="S62" s="51">
        <v>4000</v>
      </c>
      <c r="T62" s="36" t="s">
        <v>47</v>
      </c>
      <c r="U62" s="52">
        <f t="shared" si="14"/>
        <v>142000</v>
      </c>
      <c r="V62" s="53"/>
      <c r="W62" s="54"/>
      <c r="X62" s="55" t="s">
        <v>117</v>
      </c>
      <c r="Y62" s="61" t="s">
        <v>108</v>
      </c>
      <c r="Z62" s="62"/>
      <c r="AA62">
        <f>VLOOKUP(C62,[1]Sheet1!$A$3:$A$141,1,0)</f>
        <v>431090</v>
      </c>
      <c r="AB62">
        <f>VLOOKUP(C62,[2]Sheet1!$A$2:$A$556,1,0)</f>
        <v>431090</v>
      </c>
      <c r="AC62">
        <f>VLOOKUP(C62,[3]MASTER!$D$2:$D$484,1,0)</f>
        <v>431090</v>
      </c>
    </row>
    <row r="63" spans="1:29" ht="15.6">
      <c r="A63" s="14"/>
      <c r="B63" s="15">
        <v>10015114</v>
      </c>
      <c r="C63" s="16">
        <v>431090</v>
      </c>
      <c r="D63" s="73" t="s">
        <v>116</v>
      </c>
      <c r="E63" s="16" t="s">
        <v>46</v>
      </c>
      <c r="F63" s="17">
        <v>5</v>
      </c>
      <c r="G63" s="18"/>
      <c r="H63" s="18"/>
      <c r="I63" s="32"/>
      <c r="J63" s="33"/>
      <c r="K63" s="34"/>
      <c r="L63" s="35"/>
      <c r="M63" s="36"/>
      <c r="N63" s="18">
        <v>130047.67</v>
      </c>
      <c r="O63" s="18">
        <v>144352.9137</v>
      </c>
      <c r="P63" s="38">
        <f t="shared" si="12"/>
        <v>3.2192535508204258E-2</v>
      </c>
      <c r="Q63" s="33">
        <v>149000</v>
      </c>
      <c r="R63" s="34">
        <v>0</v>
      </c>
      <c r="S63" s="51">
        <v>4000</v>
      </c>
      <c r="T63" s="36" t="s">
        <v>47</v>
      </c>
      <c r="U63" s="52">
        <f t="shared" si="14"/>
        <v>145000</v>
      </c>
      <c r="V63" s="53"/>
      <c r="W63" s="54"/>
      <c r="X63" s="55" t="s">
        <v>118</v>
      </c>
      <c r="Y63" s="61" t="s">
        <v>108</v>
      </c>
      <c r="Z63" s="62"/>
      <c r="AA63">
        <f>VLOOKUP(C63,[1]Sheet1!$A$3:$A$141,1,0)</f>
        <v>431090</v>
      </c>
      <c r="AB63">
        <f>VLOOKUP(C63,[2]Sheet1!$A$2:$A$556,1,0)</f>
        <v>431090</v>
      </c>
      <c r="AC63">
        <f>VLOOKUP(C63,[3]MASTER!$D$2:$D$484,1,0)</f>
        <v>431090</v>
      </c>
    </row>
    <row r="64" spans="1:29" ht="15.6">
      <c r="A64" s="14">
        <v>24</v>
      </c>
      <c r="B64" s="15">
        <v>10008989</v>
      </c>
      <c r="C64" s="16">
        <v>346280</v>
      </c>
      <c r="D64" s="73" t="s">
        <v>119</v>
      </c>
      <c r="E64" s="16" t="s">
        <v>46</v>
      </c>
      <c r="F64" s="17">
        <v>6</v>
      </c>
      <c r="G64" s="18"/>
      <c r="H64" s="18"/>
      <c r="I64" s="32"/>
      <c r="J64" s="33"/>
      <c r="K64" s="34"/>
      <c r="L64" s="35"/>
      <c r="M64" s="36"/>
      <c r="N64" s="18">
        <v>33363.060071727399</v>
      </c>
      <c r="O64" s="18">
        <v>37032.996679617398</v>
      </c>
      <c r="P64" s="38">
        <f t="shared" si="12"/>
        <v>4.5014000211873344E-2</v>
      </c>
      <c r="Q64" s="33">
        <v>38700</v>
      </c>
      <c r="R64" s="34">
        <v>200</v>
      </c>
      <c r="S64" s="51">
        <v>500</v>
      </c>
      <c r="T64" s="36" t="s">
        <v>47</v>
      </c>
      <c r="U64" s="52">
        <f t="shared" si="14"/>
        <v>38000</v>
      </c>
      <c r="V64" s="53"/>
      <c r="W64" s="54"/>
      <c r="X64" s="55" t="s">
        <v>120</v>
      </c>
      <c r="Y64" s="61" t="s">
        <v>121</v>
      </c>
      <c r="Z64" s="62">
        <v>60</v>
      </c>
      <c r="AA64">
        <f>VLOOKUP(C64,[1]Sheet1!$A$3:$A$141,1,0)</f>
        <v>346280</v>
      </c>
      <c r="AB64">
        <f>VLOOKUP(C64,[2]Sheet1!$A$2:$A$556,1,0)</f>
        <v>346280</v>
      </c>
      <c r="AC64">
        <f>VLOOKUP(C64,[3]MASTER!$D$2:$D$484,1,0)</f>
        <v>346280</v>
      </c>
    </row>
    <row r="65" spans="1:29" ht="15.6">
      <c r="A65" s="14"/>
      <c r="B65" s="15" t="s">
        <v>122</v>
      </c>
      <c r="C65" s="16">
        <v>346280</v>
      </c>
      <c r="D65" s="73" t="s">
        <v>119</v>
      </c>
      <c r="E65" s="16" t="s">
        <v>46</v>
      </c>
      <c r="F65" s="17">
        <v>6</v>
      </c>
      <c r="G65" s="18"/>
      <c r="H65" s="18"/>
      <c r="I65" s="32"/>
      <c r="J65" s="33"/>
      <c r="K65" s="34"/>
      <c r="L65" s="35"/>
      <c r="M65" s="36"/>
      <c r="N65" s="18">
        <v>34363.960987488797</v>
      </c>
      <c r="O65" s="18">
        <v>38143.996696112503</v>
      </c>
      <c r="P65" s="38">
        <f t="shared" si="12"/>
        <v>4.6036164429158068E-2</v>
      </c>
      <c r="Q65" s="33">
        <v>39900</v>
      </c>
      <c r="R65" s="34">
        <v>200</v>
      </c>
      <c r="S65" s="51">
        <v>500</v>
      </c>
      <c r="T65" s="36" t="s">
        <v>47</v>
      </c>
      <c r="U65" s="52">
        <f t="shared" si="14"/>
        <v>39200</v>
      </c>
      <c r="V65" s="53"/>
      <c r="W65" s="54"/>
      <c r="X65" s="55" t="s">
        <v>123</v>
      </c>
      <c r="Y65" s="61" t="s">
        <v>121</v>
      </c>
      <c r="Z65" s="62">
        <v>60</v>
      </c>
      <c r="AA65">
        <f>VLOOKUP(C65,[1]Sheet1!$A$3:$A$141,1,0)</f>
        <v>346280</v>
      </c>
      <c r="AB65">
        <f>VLOOKUP(C65,[2]Sheet1!$A$2:$A$556,1,0)</f>
        <v>346280</v>
      </c>
      <c r="AC65">
        <f>VLOOKUP(C65,[3]MASTER!$D$2:$D$484,1,0)</f>
        <v>346280</v>
      </c>
    </row>
    <row r="66" spans="1:29" ht="15.6">
      <c r="A66" s="14">
        <v>25</v>
      </c>
      <c r="B66" s="15">
        <v>20076765</v>
      </c>
      <c r="C66" s="16">
        <v>1515180</v>
      </c>
      <c r="D66" s="73" t="s">
        <v>124</v>
      </c>
      <c r="E66" s="16" t="s">
        <v>46</v>
      </c>
      <c r="F66" s="17">
        <v>20</v>
      </c>
      <c r="G66" s="18"/>
      <c r="H66" s="18"/>
      <c r="I66" s="32"/>
      <c r="J66" s="33"/>
      <c r="K66" s="34"/>
      <c r="L66" s="35"/>
      <c r="M66" s="36"/>
      <c r="N66" s="18">
        <v>16500</v>
      </c>
      <c r="O66" s="18">
        <v>16500</v>
      </c>
      <c r="P66" s="38">
        <f t="shared" si="12"/>
        <v>4.2424242424242427E-2</v>
      </c>
      <c r="Q66" s="33">
        <v>17200</v>
      </c>
      <c r="R66" s="34">
        <v>0</v>
      </c>
      <c r="S66" s="51">
        <v>300</v>
      </c>
      <c r="T66" s="36" t="s">
        <v>47</v>
      </c>
      <c r="U66" s="52">
        <f t="shared" si="14"/>
        <v>16900</v>
      </c>
      <c r="V66" s="53">
        <v>4000</v>
      </c>
      <c r="W66" s="54" t="s">
        <v>56</v>
      </c>
      <c r="X66" s="55" t="s">
        <v>49</v>
      </c>
      <c r="Y66" s="61" t="s">
        <v>121</v>
      </c>
      <c r="Z66" s="62">
        <v>200</v>
      </c>
      <c r="AA66">
        <f>VLOOKUP(C66,[1]Sheet1!$A$3:$A$141,1,0)</f>
        <v>1515180</v>
      </c>
      <c r="AB66">
        <f>VLOOKUP(C66,[2]Sheet1!$A$2:$A$556,1,0)</f>
        <v>1515180</v>
      </c>
      <c r="AC66">
        <f>VLOOKUP(C66,[3]MASTER!$D$2:$D$484,1,0)</f>
        <v>1515180</v>
      </c>
    </row>
    <row r="67" spans="1:29" ht="15.6">
      <c r="A67" s="14"/>
      <c r="B67" s="15">
        <v>20076768</v>
      </c>
      <c r="C67" s="16">
        <v>1515190</v>
      </c>
      <c r="D67" s="73" t="s">
        <v>125</v>
      </c>
      <c r="E67" s="16" t="s">
        <v>46</v>
      </c>
      <c r="F67" s="17">
        <v>20</v>
      </c>
      <c r="G67" s="18"/>
      <c r="H67" s="18"/>
      <c r="I67" s="32"/>
      <c r="J67" s="33"/>
      <c r="K67" s="34"/>
      <c r="L67" s="35"/>
      <c r="M67" s="36"/>
      <c r="N67" s="18">
        <v>16500</v>
      </c>
      <c r="O67" s="18">
        <v>16500</v>
      </c>
      <c r="P67" s="38">
        <f t="shared" si="12"/>
        <v>4.2424242424242427E-2</v>
      </c>
      <c r="Q67" s="33">
        <v>17200</v>
      </c>
      <c r="R67" s="34">
        <v>0</v>
      </c>
      <c r="S67" s="51">
        <v>300</v>
      </c>
      <c r="T67" s="36" t="s">
        <v>47</v>
      </c>
      <c r="U67" s="52">
        <f t="shared" si="14"/>
        <v>16900</v>
      </c>
      <c r="V67" s="53">
        <v>4000</v>
      </c>
      <c r="W67" s="54" t="s">
        <v>56</v>
      </c>
      <c r="X67" s="55" t="s">
        <v>49</v>
      </c>
      <c r="Y67" s="61" t="s">
        <v>121</v>
      </c>
      <c r="Z67" s="62">
        <v>200</v>
      </c>
      <c r="AA67">
        <f>VLOOKUP(C67,[1]Sheet1!$A$3:$A$141,1,0)</f>
        <v>1515190</v>
      </c>
      <c r="AB67">
        <f>VLOOKUP(C67,[2]Sheet1!$A$2:$A$556,1,0)</f>
        <v>1515190</v>
      </c>
      <c r="AC67">
        <f>VLOOKUP(C67,[3]MASTER!$D$2:$D$484,1,0)</f>
        <v>1515190</v>
      </c>
    </row>
    <row r="68" spans="1:29" ht="15.6">
      <c r="A68" s="14">
        <v>26</v>
      </c>
      <c r="B68" s="15">
        <v>20131209</v>
      </c>
      <c r="C68" s="16">
        <v>1438350</v>
      </c>
      <c r="D68" s="73" t="s">
        <v>126</v>
      </c>
      <c r="E68" s="16" t="s">
        <v>46</v>
      </c>
      <c r="F68" s="17">
        <v>12</v>
      </c>
      <c r="G68" s="18"/>
      <c r="H68" s="18"/>
      <c r="I68" s="32"/>
      <c r="J68" s="33"/>
      <c r="K68" s="34"/>
      <c r="L68" s="35"/>
      <c r="M68" s="36"/>
      <c r="N68" s="18">
        <v>14534.534166666699</v>
      </c>
      <c r="O68" s="18">
        <v>16133.332925000001</v>
      </c>
      <c r="P68" s="38">
        <f t="shared" si="12"/>
        <v>3.2024819508892605E-2</v>
      </c>
      <c r="Q68" s="33">
        <v>16650</v>
      </c>
      <c r="R68" s="34"/>
      <c r="S68" s="51">
        <v>750</v>
      </c>
      <c r="T68" s="36" t="s">
        <v>47</v>
      </c>
      <c r="U68" s="52">
        <f t="shared" si="14"/>
        <v>15900</v>
      </c>
      <c r="V68" s="53"/>
      <c r="W68" s="54"/>
      <c r="X68" s="55" t="s">
        <v>127</v>
      </c>
      <c r="Y68" s="61" t="s">
        <v>121</v>
      </c>
      <c r="Z68" s="62">
        <v>120</v>
      </c>
      <c r="AA68">
        <f>VLOOKUP(C68,[1]Sheet1!$A$3:$A$141,1,0)</f>
        <v>1438350</v>
      </c>
      <c r="AB68">
        <f>VLOOKUP(C68,[2]Sheet1!$A$2:$A$556,1,0)</f>
        <v>1438350</v>
      </c>
      <c r="AC68">
        <f>VLOOKUP(C68,[3]MASTER!$D$2:$D$484,1,0)</f>
        <v>1438350</v>
      </c>
    </row>
    <row r="69" spans="1:29" ht="15.6">
      <c r="A69" s="14"/>
      <c r="B69" s="15" t="s">
        <v>128</v>
      </c>
      <c r="C69" s="16">
        <v>1438350</v>
      </c>
      <c r="D69" s="73" t="s">
        <v>126</v>
      </c>
      <c r="E69" s="16" t="s">
        <v>46</v>
      </c>
      <c r="F69" s="17">
        <v>12</v>
      </c>
      <c r="G69" s="18"/>
      <c r="H69" s="18"/>
      <c r="I69" s="32"/>
      <c r="J69" s="33"/>
      <c r="K69" s="34"/>
      <c r="L69" s="35"/>
      <c r="M69" s="36"/>
      <c r="N69" s="18">
        <v>14939.94</v>
      </c>
      <c r="O69" s="18">
        <v>16583.3334</v>
      </c>
      <c r="P69" s="38">
        <f t="shared" si="12"/>
        <v>3.1155774749122542E-2</v>
      </c>
      <c r="Q69" s="33">
        <v>17100</v>
      </c>
      <c r="R69" s="34"/>
      <c r="S69" s="51">
        <v>750</v>
      </c>
      <c r="T69" s="36" t="s">
        <v>47</v>
      </c>
      <c r="U69" s="52">
        <f t="shared" si="14"/>
        <v>16350</v>
      </c>
      <c r="V69" s="53"/>
      <c r="W69" s="54"/>
      <c r="X69" s="55" t="s">
        <v>129</v>
      </c>
      <c r="Y69" s="61" t="s">
        <v>121</v>
      </c>
      <c r="Z69" s="62">
        <v>120</v>
      </c>
      <c r="AA69">
        <f>VLOOKUP(C69,[1]Sheet1!$A$3:$A$141,1,0)</f>
        <v>1438350</v>
      </c>
      <c r="AB69">
        <f>VLOOKUP(C69,[2]Sheet1!$A$2:$A$556,1,0)</f>
        <v>1438350</v>
      </c>
      <c r="AC69">
        <f>VLOOKUP(C69,[3]MASTER!$D$2:$D$484,1,0)</f>
        <v>1438350</v>
      </c>
    </row>
    <row r="70" spans="1:29" ht="15.6">
      <c r="A70" s="14"/>
      <c r="B70" s="15" t="s">
        <v>128</v>
      </c>
      <c r="C70" s="16">
        <v>1438350</v>
      </c>
      <c r="D70" s="73" t="s">
        <v>126</v>
      </c>
      <c r="E70" s="16" t="s">
        <v>46</v>
      </c>
      <c r="F70" s="17">
        <v>12</v>
      </c>
      <c r="G70" s="18"/>
      <c r="H70" s="18"/>
      <c r="I70" s="32"/>
      <c r="J70" s="33"/>
      <c r="K70" s="34"/>
      <c r="L70" s="35"/>
      <c r="M70" s="36"/>
      <c r="N70" s="18">
        <v>15150.15</v>
      </c>
      <c r="O70" s="18">
        <v>16816.666499999999</v>
      </c>
      <c r="P70" s="38">
        <f t="shared" si="12"/>
        <v>3.4687819967173676E-2</v>
      </c>
      <c r="Q70" s="33">
        <v>17400</v>
      </c>
      <c r="R70" s="34"/>
      <c r="S70" s="51">
        <v>750</v>
      </c>
      <c r="T70" s="36" t="s">
        <v>47</v>
      </c>
      <c r="U70" s="52">
        <f t="shared" si="14"/>
        <v>16650</v>
      </c>
      <c r="V70" s="53"/>
      <c r="W70" s="54"/>
      <c r="X70" s="55" t="s">
        <v>130</v>
      </c>
      <c r="Y70" s="61" t="s">
        <v>121</v>
      </c>
      <c r="Z70" s="62">
        <v>120</v>
      </c>
      <c r="AA70">
        <f>VLOOKUP(C70,[1]Sheet1!$A$3:$A$141,1,0)</f>
        <v>1438350</v>
      </c>
      <c r="AB70">
        <f>VLOOKUP(C70,[2]Sheet1!$A$2:$A$556,1,0)</f>
        <v>1438350</v>
      </c>
      <c r="AC70">
        <f>VLOOKUP(C70,[3]MASTER!$D$2:$D$484,1,0)</f>
        <v>1438350</v>
      </c>
    </row>
    <row r="71" spans="1:29" ht="15.6">
      <c r="A71" s="14">
        <v>27</v>
      </c>
      <c r="B71" s="15">
        <v>10000439</v>
      </c>
      <c r="C71" s="16">
        <v>13500</v>
      </c>
      <c r="D71" s="73" t="s">
        <v>131</v>
      </c>
      <c r="E71" s="16" t="s">
        <v>46</v>
      </c>
      <c r="F71" s="17">
        <v>60</v>
      </c>
      <c r="G71" s="18"/>
      <c r="H71" s="18"/>
      <c r="I71" s="32"/>
      <c r="J71" s="33"/>
      <c r="K71" s="34"/>
      <c r="L71" s="35"/>
      <c r="M71" s="36"/>
      <c r="N71" s="18">
        <v>5005.97</v>
      </c>
      <c r="O71" s="18">
        <v>5556.6266999999998</v>
      </c>
      <c r="P71" s="38">
        <f t="shared" si="12"/>
        <v>3.480048425783222E-2</v>
      </c>
      <c r="Q71" s="33">
        <v>5750</v>
      </c>
      <c r="R71" s="34">
        <v>100</v>
      </c>
      <c r="S71" s="51">
        <v>100</v>
      </c>
      <c r="T71" s="36" t="s">
        <v>47</v>
      </c>
      <c r="U71" s="52">
        <f t="shared" si="14"/>
        <v>5550</v>
      </c>
      <c r="V71" s="53"/>
      <c r="W71" s="54"/>
      <c r="X71" s="55" t="s">
        <v>42</v>
      </c>
      <c r="Y71" s="61" t="s">
        <v>121</v>
      </c>
      <c r="Z71" s="62">
        <v>600</v>
      </c>
      <c r="AA71">
        <f>VLOOKUP(C71,[1]Sheet1!$A$3:$A$141,1,0)</f>
        <v>13500</v>
      </c>
      <c r="AB71">
        <f>VLOOKUP(C71,[2]Sheet1!$A$2:$A$556,1,0)</f>
        <v>13500</v>
      </c>
      <c r="AC71">
        <f>VLOOKUP(C71,[3]MASTER!$D$2:$D$484,1,0)</f>
        <v>13500</v>
      </c>
    </row>
    <row r="72" spans="1:29" ht="15.6">
      <c r="A72" s="14">
        <v>28</v>
      </c>
      <c r="B72" s="15">
        <v>20025478</v>
      </c>
      <c r="C72" s="16">
        <v>1208840</v>
      </c>
      <c r="D72" s="73" t="s">
        <v>132</v>
      </c>
      <c r="E72" s="16" t="s">
        <v>133</v>
      </c>
      <c r="F72" s="17">
        <v>20</v>
      </c>
      <c r="G72" s="18"/>
      <c r="H72" s="18"/>
      <c r="I72" s="32"/>
      <c r="J72" s="33"/>
      <c r="K72" s="34"/>
      <c r="L72" s="35"/>
      <c r="M72" s="36"/>
      <c r="N72" s="18">
        <v>3731.23</v>
      </c>
      <c r="O72" s="18">
        <v>4141.6652999999997</v>
      </c>
      <c r="P72" s="38">
        <f t="shared" ref="P72:P117" si="16">(Q72-O72)/O72</f>
        <v>6.2374596035078056E-2</v>
      </c>
      <c r="Q72" s="33">
        <v>4400</v>
      </c>
      <c r="R72" s="34"/>
      <c r="S72" s="51">
        <v>100</v>
      </c>
      <c r="T72" s="36" t="s">
        <v>47</v>
      </c>
      <c r="U72" s="52">
        <f t="shared" si="14"/>
        <v>4300</v>
      </c>
      <c r="V72" s="53"/>
      <c r="W72" s="54"/>
      <c r="X72" s="55" t="s">
        <v>134</v>
      </c>
      <c r="Y72" s="61" t="s">
        <v>121</v>
      </c>
      <c r="Z72" s="62">
        <v>200</v>
      </c>
      <c r="AA72">
        <f>VLOOKUP(C72,[1]Sheet1!$A$3:$A$141,1,0)</f>
        <v>1208840</v>
      </c>
      <c r="AB72">
        <f>VLOOKUP(C72,[2]Sheet1!$A$2:$A$556,1,0)</f>
        <v>1208840</v>
      </c>
      <c r="AC72">
        <f>VLOOKUP(C72,[3]MASTER!$D$2:$D$484,1,0)</f>
        <v>1208840</v>
      </c>
    </row>
    <row r="73" spans="1:29" ht="15.6">
      <c r="A73" s="14"/>
      <c r="B73" s="15">
        <v>20025478</v>
      </c>
      <c r="C73" s="16">
        <v>1208840</v>
      </c>
      <c r="D73" s="19" t="s">
        <v>132</v>
      </c>
      <c r="E73" s="16" t="s">
        <v>133</v>
      </c>
      <c r="F73" s="17">
        <v>20</v>
      </c>
      <c r="G73" s="18"/>
      <c r="H73" s="18"/>
      <c r="I73" s="32"/>
      <c r="J73" s="33"/>
      <c r="K73" s="34"/>
      <c r="L73" s="35"/>
      <c r="M73" s="36"/>
      <c r="N73" s="18">
        <v>3853.22</v>
      </c>
      <c r="O73" s="18">
        <v>4277.0742</v>
      </c>
      <c r="P73" s="38">
        <f t="shared" si="16"/>
        <v>5.2121097174325379E-2</v>
      </c>
      <c r="Q73" s="33">
        <v>4500</v>
      </c>
      <c r="R73" s="34"/>
      <c r="S73" s="51">
        <v>100</v>
      </c>
      <c r="T73" s="36" t="s">
        <v>47</v>
      </c>
      <c r="U73" s="52">
        <f t="shared" si="14"/>
        <v>4400</v>
      </c>
      <c r="V73" s="53"/>
      <c r="W73" s="54"/>
      <c r="X73" s="55" t="s">
        <v>135</v>
      </c>
      <c r="Y73" s="61" t="s">
        <v>121</v>
      </c>
      <c r="Z73" s="62">
        <v>200</v>
      </c>
      <c r="AA73">
        <f>VLOOKUP(C73,[1]Sheet1!$A$3:$A$141,1,0)</f>
        <v>1208840</v>
      </c>
      <c r="AB73">
        <f>VLOOKUP(C73,[2]Sheet1!$A$2:$A$556,1,0)</f>
        <v>1208840</v>
      </c>
      <c r="AC73">
        <f>VLOOKUP(C73,[3]MASTER!$D$2:$D$484,1,0)</f>
        <v>1208840</v>
      </c>
    </row>
    <row r="74" spans="1:29" ht="15.6">
      <c r="A74" s="14">
        <v>29</v>
      </c>
      <c r="B74" s="15">
        <v>20021802</v>
      </c>
      <c r="C74" s="16">
        <v>1173530</v>
      </c>
      <c r="D74" s="19" t="s">
        <v>136</v>
      </c>
      <c r="E74" s="16" t="s">
        <v>46</v>
      </c>
      <c r="F74" s="17">
        <v>12</v>
      </c>
      <c r="G74" s="18">
        <v>61578.239999999998</v>
      </c>
      <c r="H74" s="18">
        <v>68351.846399999995</v>
      </c>
      <c r="I74" s="32">
        <v>9.2272956175298706</v>
      </c>
      <c r="J74" s="33">
        <v>75300</v>
      </c>
      <c r="K74" s="34"/>
      <c r="L74" s="35">
        <v>1400</v>
      </c>
      <c r="M74" s="36" t="s">
        <v>47</v>
      </c>
      <c r="N74" s="18">
        <v>9008.33</v>
      </c>
      <c r="O74" s="18">
        <v>9999.2463000000007</v>
      </c>
      <c r="P74" s="38">
        <f t="shared" si="16"/>
        <v>5.0079144465118262E-2</v>
      </c>
      <c r="Q74" s="33">
        <v>10500</v>
      </c>
      <c r="R74" s="34"/>
      <c r="S74" s="51">
        <v>250</v>
      </c>
      <c r="T74" s="36" t="s">
        <v>47</v>
      </c>
      <c r="U74" s="52">
        <f t="shared" si="14"/>
        <v>10250</v>
      </c>
      <c r="V74" s="53"/>
      <c r="W74" s="54"/>
      <c r="X74" s="55" t="s">
        <v>137</v>
      </c>
      <c r="Y74" s="61" t="s">
        <v>121</v>
      </c>
      <c r="Z74" s="62">
        <v>120</v>
      </c>
      <c r="AA74">
        <f>VLOOKUP(C74,[1]Sheet1!$A$3:$A$141,1,0)</f>
        <v>1173530</v>
      </c>
      <c r="AB74">
        <f>VLOOKUP(C74,[2]Sheet1!$A$2:$A$556,1,0)</f>
        <v>1173530</v>
      </c>
      <c r="AC74">
        <f>VLOOKUP(C74,[3]MASTER!$D$2:$D$484,1,0)</f>
        <v>1173530</v>
      </c>
    </row>
    <row r="75" spans="1:29" ht="15.6">
      <c r="A75" s="14"/>
      <c r="B75" s="15">
        <v>20021802</v>
      </c>
      <c r="C75" s="16">
        <v>1173530</v>
      </c>
      <c r="D75" s="19" t="s">
        <v>136</v>
      </c>
      <c r="E75" s="16" t="s">
        <v>46</v>
      </c>
      <c r="F75" s="17">
        <v>12</v>
      </c>
      <c r="G75" s="18">
        <v>5444.24</v>
      </c>
      <c r="H75" s="18">
        <v>6043.1063999999997</v>
      </c>
      <c r="I75" s="32">
        <v>9.1262195488721698</v>
      </c>
      <c r="J75" s="33">
        <v>6650</v>
      </c>
      <c r="K75" s="34"/>
      <c r="L75" s="35">
        <v>150</v>
      </c>
      <c r="M75" s="36" t="s">
        <v>47</v>
      </c>
      <c r="N75" s="18">
        <v>9908.33</v>
      </c>
      <c r="O75" s="18">
        <v>10998.246300000001</v>
      </c>
      <c r="P75" s="38">
        <f t="shared" si="16"/>
        <v>4.5621245998100558E-2</v>
      </c>
      <c r="Q75" s="33">
        <v>11500</v>
      </c>
      <c r="R75" s="34"/>
      <c r="S75" s="51">
        <v>250</v>
      </c>
      <c r="T75" s="36" t="s">
        <v>47</v>
      </c>
      <c r="U75" s="52">
        <f t="shared" si="14"/>
        <v>11250</v>
      </c>
      <c r="V75" s="53"/>
      <c r="W75" s="54"/>
      <c r="X75" s="55" t="s">
        <v>138</v>
      </c>
      <c r="Y75" s="61" t="s">
        <v>121</v>
      </c>
      <c r="Z75" s="62">
        <v>120</v>
      </c>
      <c r="AA75">
        <f>VLOOKUP(C75,[1]Sheet1!$A$3:$A$141,1,0)</f>
        <v>1173530</v>
      </c>
      <c r="AB75">
        <f>VLOOKUP(C75,[2]Sheet1!$A$2:$A$556,1,0)</f>
        <v>1173530</v>
      </c>
      <c r="AC75">
        <f>VLOOKUP(C75,[3]MASTER!$D$2:$D$484,1,0)</f>
        <v>1173530</v>
      </c>
    </row>
    <row r="76" spans="1:29" ht="23.55" customHeight="1">
      <c r="A76" s="63" t="s">
        <v>139</v>
      </c>
      <c r="B76" s="64"/>
      <c r="C76" s="65"/>
      <c r="D76" s="64"/>
      <c r="E76" s="64"/>
      <c r="F76" s="64"/>
      <c r="G76" s="13"/>
      <c r="H76" s="13"/>
      <c r="I76" s="13"/>
      <c r="J76" s="13"/>
      <c r="K76" s="13"/>
      <c r="L76" s="13"/>
      <c r="M76" s="13"/>
      <c r="N76" s="12"/>
      <c r="O76" s="12"/>
      <c r="P76" s="12"/>
      <c r="Q76" s="12"/>
      <c r="R76" s="12"/>
      <c r="S76" s="64"/>
      <c r="T76" s="64"/>
      <c r="U76" s="66"/>
      <c r="V76" s="67"/>
      <c r="W76" s="68"/>
      <c r="X76" s="69"/>
      <c r="Y76" s="70"/>
      <c r="Z76" s="71"/>
    </row>
    <row r="77" spans="1:29" ht="15.6">
      <c r="A77" s="14">
        <v>1</v>
      </c>
      <c r="B77" s="15" t="s">
        <v>140</v>
      </c>
      <c r="C77" s="16">
        <v>1346520</v>
      </c>
      <c r="D77" s="19" t="s">
        <v>141</v>
      </c>
      <c r="E77" s="16" t="s">
        <v>46</v>
      </c>
      <c r="F77" s="17">
        <v>504</v>
      </c>
      <c r="G77" s="18">
        <f t="shared" ref="G77:G82" si="17">652.48*12</f>
        <v>7829.76</v>
      </c>
      <c r="H77" s="18">
        <f t="shared" ref="H77:H86" si="18">G77*1.11</f>
        <v>8691.0336000000007</v>
      </c>
      <c r="I77" s="32">
        <f t="shared" ref="I77:I86" si="19">(J77-G77)/H77</f>
        <v>0.14615522830334007</v>
      </c>
      <c r="J77" s="33">
        <v>9100</v>
      </c>
      <c r="K77" s="34">
        <f t="shared" ref="K77:K82" si="20">J77*42</f>
        <v>382200</v>
      </c>
      <c r="L77" s="35"/>
      <c r="M77" s="36"/>
      <c r="N77" s="18">
        <f t="shared" ref="N77:N86" si="21">G77</f>
        <v>7829.76</v>
      </c>
      <c r="O77" s="18">
        <f t="shared" ref="O77:O86" si="22">H77</f>
        <v>8691.0336000000007</v>
      </c>
      <c r="P77" s="38">
        <f t="shared" si="16"/>
        <v>3.5550017894304231E-2</v>
      </c>
      <c r="Q77" s="33">
        <v>9000</v>
      </c>
      <c r="R77" s="34">
        <v>100</v>
      </c>
      <c r="S77" s="51"/>
      <c r="T77" s="36" t="s">
        <v>142</v>
      </c>
      <c r="U77" s="52">
        <f t="shared" ref="U77:U117" si="23">Q77-R77-(S77)</f>
        <v>8900</v>
      </c>
      <c r="V77" s="53"/>
      <c r="W77" s="54"/>
      <c r="X77" s="55" t="s">
        <v>49</v>
      </c>
      <c r="Y77" s="61"/>
      <c r="Z77" s="62"/>
      <c r="AA77" t="e">
        <f>VLOOKUP(C77,[1]Sheet1!$A$3:$A$141,1,0)</f>
        <v>#N/A</v>
      </c>
      <c r="AB77">
        <f>VLOOKUP(C77,[2]Sheet1!$A$2:$A$556,1,0)</f>
        <v>1346520</v>
      </c>
      <c r="AC77">
        <f>VLOOKUP(C77,[3]MASTER!$D$2:$D$484,1,0)</f>
        <v>1346520</v>
      </c>
    </row>
    <row r="78" spans="1:29" ht="15.6">
      <c r="A78" s="14"/>
      <c r="B78" s="15" t="s">
        <v>143</v>
      </c>
      <c r="C78" s="16">
        <v>1346530</v>
      </c>
      <c r="D78" s="19" t="s">
        <v>144</v>
      </c>
      <c r="E78" s="16" t="s">
        <v>46</v>
      </c>
      <c r="F78" s="17">
        <v>504</v>
      </c>
      <c r="G78" s="18">
        <f t="shared" si="17"/>
        <v>7829.76</v>
      </c>
      <c r="H78" s="18">
        <f t="shared" si="18"/>
        <v>8691.0336000000007</v>
      </c>
      <c r="I78" s="32">
        <f t="shared" si="19"/>
        <v>0.14615522830334007</v>
      </c>
      <c r="J78" s="33">
        <v>9100</v>
      </c>
      <c r="K78" s="34">
        <f t="shared" si="20"/>
        <v>382200</v>
      </c>
      <c r="L78" s="35"/>
      <c r="M78" s="36"/>
      <c r="N78" s="18">
        <f t="shared" si="21"/>
        <v>7829.76</v>
      </c>
      <c r="O78" s="18">
        <f t="shared" si="22"/>
        <v>8691.0336000000007</v>
      </c>
      <c r="P78" s="38">
        <f t="shared" si="16"/>
        <v>3.5550017894304231E-2</v>
      </c>
      <c r="Q78" s="33">
        <v>9000</v>
      </c>
      <c r="R78" s="34">
        <v>100</v>
      </c>
      <c r="S78" s="51"/>
      <c r="T78" s="36" t="s">
        <v>142</v>
      </c>
      <c r="U78" s="52">
        <f t="shared" si="23"/>
        <v>8900</v>
      </c>
      <c r="V78" s="53"/>
      <c r="W78" s="54"/>
      <c r="X78" s="55" t="s">
        <v>49</v>
      </c>
      <c r="Y78" s="61"/>
      <c r="Z78" s="62"/>
      <c r="AA78" t="e">
        <f>VLOOKUP(C78,[1]Sheet1!$A$3:$A$141,1,0)</f>
        <v>#N/A</v>
      </c>
      <c r="AB78">
        <f>VLOOKUP(C78,[2]Sheet1!$A$2:$A$556,1,0)</f>
        <v>1346530</v>
      </c>
      <c r="AC78">
        <f>VLOOKUP(C78,[3]MASTER!$D$2:$D$484,1,0)</f>
        <v>1346530</v>
      </c>
    </row>
    <row r="79" spans="1:29" ht="15.6">
      <c r="A79" s="14"/>
      <c r="B79" s="15" t="s">
        <v>145</v>
      </c>
      <c r="C79" s="16">
        <v>1346560</v>
      </c>
      <c r="D79" s="19" t="s">
        <v>146</v>
      </c>
      <c r="E79" s="16" t="s">
        <v>46</v>
      </c>
      <c r="F79" s="17">
        <v>504</v>
      </c>
      <c r="G79" s="18">
        <f t="shared" si="17"/>
        <v>7829.76</v>
      </c>
      <c r="H79" s="18">
        <f t="shared" si="18"/>
        <v>8691.0336000000007</v>
      </c>
      <c r="I79" s="32">
        <f t="shared" si="19"/>
        <v>0.14615522830334007</v>
      </c>
      <c r="J79" s="33">
        <v>9100</v>
      </c>
      <c r="K79" s="34">
        <f t="shared" si="20"/>
        <v>382200</v>
      </c>
      <c r="L79" s="35"/>
      <c r="M79" s="36"/>
      <c r="N79" s="18">
        <f t="shared" si="21"/>
        <v>7829.76</v>
      </c>
      <c r="O79" s="18">
        <f t="shared" si="22"/>
        <v>8691.0336000000007</v>
      </c>
      <c r="P79" s="38">
        <f t="shared" si="16"/>
        <v>3.5550017894304231E-2</v>
      </c>
      <c r="Q79" s="33">
        <v>9000</v>
      </c>
      <c r="R79" s="34">
        <v>100</v>
      </c>
      <c r="S79" s="51"/>
      <c r="T79" s="36" t="s">
        <v>142</v>
      </c>
      <c r="U79" s="52">
        <f t="shared" si="23"/>
        <v>8900</v>
      </c>
      <c r="V79" s="53"/>
      <c r="W79" s="54"/>
      <c r="X79" s="55" t="s">
        <v>49</v>
      </c>
      <c r="Y79" s="61"/>
      <c r="Z79" s="62"/>
      <c r="AA79" t="e">
        <f>VLOOKUP(C79,[1]Sheet1!$A$3:$A$141,1,0)</f>
        <v>#N/A</v>
      </c>
      <c r="AB79">
        <f>VLOOKUP(C79,[2]Sheet1!$A$2:$A$556,1,0)</f>
        <v>1346560</v>
      </c>
      <c r="AC79">
        <f>VLOOKUP(C79,[3]MASTER!$D$2:$D$484,1,0)</f>
        <v>1346560</v>
      </c>
    </row>
    <row r="80" spans="1:29" ht="15.6">
      <c r="A80" s="14"/>
      <c r="B80" s="15" t="s">
        <v>147</v>
      </c>
      <c r="C80" s="16">
        <v>1346510</v>
      </c>
      <c r="D80" s="19" t="s">
        <v>148</v>
      </c>
      <c r="E80" s="16" t="s">
        <v>46</v>
      </c>
      <c r="F80" s="17">
        <v>504</v>
      </c>
      <c r="G80" s="18">
        <f t="shared" si="17"/>
        <v>7829.76</v>
      </c>
      <c r="H80" s="18">
        <f t="shared" si="18"/>
        <v>8691.0336000000007</v>
      </c>
      <c r="I80" s="32">
        <f t="shared" si="19"/>
        <v>0.14615522830334007</v>
      </c>
      <c r="J80" s="33">
        <v>9100</v>
      </c>
      <c r="K80" s="34">
        <f t="shared" si="20"/>
        <v>382200</v>
      </c>
      <c r="L80" s="35"/>
      <c r="M80" s="36"/>
      <c r="N80" s="18">
        <f t="shared" si="21"/>
        <v>7829.76</v>
      </c>
      <c r="O80" s="18">
        <f t="shared" si="22"/>
        <v>8691.0336000000007</v>
      </c>
      <c r="P80" s="38">
        <f t="shared" si="16"/>
        <v>3.5550017894304231E-2</v>
      </c>
      <c r="Q80" s="33">
        <v>9000</v>
      </c>
      <c r="R80" s="34">
        <v>100</v>
      </c>
      <c r="S80" s="51"/>
      <c r="T80" s="36" t="s">
        <v>142</v>
      </c>
      <c r="U80" s="52">
        <f t="shared" si="23"/>
        <v>8900</v>
      </c>
      <c r="V80" s="53"/>
      <c r="W80" s="54"/>
      <c r="X80" s="55" t="s">
        <v>49</v>
      </c>
      <c r="Y80" s="61"/>
      <c r="Z80" s="62"/>
      <c r="AA80" t="e">
        <f>VLOOKUP(C80,[1]Sheet1!$A$3:$A$141,1,0)</f>
        <v>#N/A</v>
      </c>
      <c r="AB80" t="e">
        <f>VLOOKUP(C80,[2]Sheet1!$A$2:$A$556,1,0)</f>
        <v>#N/A</v>
      </c>
      <c r="AC80" t="e">
        <f>VLOOKUP(C80,[3]MASTER!$D$2:$D$484,1,0)</f>
        <v>#N/A</v>
      </c>
    </row>
    <row r="81" spans="1:29" ht="15.6">
      <c r="A81" s="14"/>
      <c r="B81" s="15" t="s">
        <v>149</v>
      </c>
      <c r="C81" s="16">
        <v>1346550</v>
      </c>
      <c r="D81" s="19" t="s">
        <v>150</v>
      </c>
      <c r="E81" s="16" t="s">
        <v>46</v>
      </c>
      <c r="F81" s="17">
        <v>504</v>
      </c>
      <c r="G81" s="18">
        <f t="shared" si="17"/>
        <v>7829.76</v>
      </c>
      <c r="H81" s="18">
        <f t="shared" si="18"/>
        <v>8691.0336000000007</v>
      </c>
      <c r="I81" s="32">
        <f t="shared" si="19"/>
        <v>0.14615522830334007</v>
      </c>
      <c r="J81" s="33">
        <v>9100</v>
      </c>
      <c r="K81" s="34">
        <f t="shared" si="20"/>
        <v>382200</v>
      </c>
      <c r="L81" s="35"/>
      <c r="M81" s="36"/>
      <c r="N81" s="18">
        <f t="shared" si="21"/>
        <v>7829.76</v>
      </c>
      <c r="O81" s="18">
        <f t="shared" si="22"/>
        <v>8691.0336000000007</v>
      </c>
      <c r="P81" s="38">
        <f t="shared" si="16"/>
        <v>3.5550017894304231E-2</v>
      </c>
      <c r="Q81" s="33">
        <v>9000</v>
      </c>
      <c r="R81" s="34">
        <v>100</v>
      </c>
      <c r="S81" s="51"/>
      <c r="T81" s="36" t="s">
        <v>142</v>
      </c>
      <c r="U81" s="52">
        <f t="shared" si="23"/>
        <v>8900</v>
      </c>
      <c r="V81" s="53"/>
      <c r="W81" s="54"/>
      <c r="X81" s="55" t="s">
        <v>49</v>
      </c>
      <c r="Y81" s="61"/>
      <c r="Z81" s="62"/>
      <c r="AA81" t="e">
        <f>VLOOKUP(C81,[1]Sheet1!$A$3:$A$141,1,0)</f>
        <v>#N/A</v>
      </c>
      <c r="AB81" t="e">
        <f>VLOOKUP(C81,[2]Sheet1!$A$2:$A$556,1,0)</f>
        <v>#N/A</v>
      </c>
      <c r="AC81" t="e">
        <f>VLOOKUP(C81,[3]MASTER!$D$2:$D$484,1,0)</f>
        <v>#N/A</v>
      </c>
    </row>
    <row r="82" spans="1:29" ht="15.6">
      <c r="A82" s="14"/>
      <c r="B82" s="15" t="s">
        <v>151</v>
      </c>
      <c r="C82" s="16">
        <v>1346540</v>
      </c>
      <c r="D82" s="19" t="s">
        <v>152</v>
      </c>
      <c r="E82" s="16" t="s">
        <v>46</v>
      </c>
      <c r="F82" s="17">
        <v>504</v>
      </c>
      <c r="G82" s="18">
        <f t="shared" si="17"/>
        <v>7829.76</v>
      </c>
      <c r="H82" s="18">
        <f t="shared" si="18"/>
        <v>8691.0336000000007</v>
      </c>
      <c r="I82" s="32">
        <f t="shared" si="19"/>
        <v>0.14615522830334007</v>
      </c>
      <c r="J82" s="33">
        <v>9100</v>
      </c>
      <c r="K82" s="34">
        <f t="shared" si="20"/>
        <v>382200</v>
      </c>
      <c r="L82" s="35"/>
      <c r="M82" s="36"/>
      <c r="N82" s="18">
        <f t="shared" si="21"/>
        <v>7829.76</v>
      </c>
      <c r="O82" s="18">
        <f t="shared" si="22"/>
        <v>8691.0336000000007</v>
      </c>
      <c r="P82" s="38">
        <f t="shared" si="16"/>
        <v>3.5550017894304231E-2</v>
      </c>
      <c r="Q82" s="33">
        <v>9000</v>
      </c>
      <c r="R82" s="34">
        <v>100</v>
      </c>
      <c r="S82" s="51"/>
      <c r="T82" s="36" t="s">
        <v>142</v>
      </c>
      <c r="U82" s="52">
        <f t="shared" si="23"/>
        <v>8900</v>
      </c>
      <c r="V82" s="53"/>
      <c r="W82" s="54"/>
      <c r="X82" s="55" t="s">
        <v>49</v>
      </c>
      <c r="Y82" s="61"/>
      <c r="Z82" s="62"/>
      <c r="AA82" t="e">
        <f>VLOOKUP(C82,[1]Sheet1!$A$3:$A$141,1,0)</f>
        <v>#N/A</v>
      </c>
      <c r="AB82" t="e">
        <f>VLOOKUP(C82,[2]Sheet1!$A$2:$A$556,1,0)</f>
        <v>#N/A</v>
      </c>
      <c r="AC82" t="e">
        <f>VLOOKUP(C82,[3]MASTER!$D$2:$D$484,1,0)</f>
        <v>#N/A</v>
      </c>
    </row>
    <row r="83" spans="1:29" ht="15.6">
      <c r="A83" s="14"/>
      <c r="B83" s="15">
        <v>20134459</v>
      </c>
      <c r="C83" s="16">
        <v>1702940</v>
      </c>
      <c r="D83" s="19" t="s">
        <v>153</v>
      </c>
      <c r="E83" s="16" t="s">
        <v>46</v>
      </c>
      <c r="F83" s="17"/>
      <c r="G83" s="18">
        <f t="shared" ref="G83:G86" si="24">994*12</f>
        <v>11928</v>
      </c>
      <c r="H83" s="18">
        <f t="shared" si="18"/>
        <v>13240.080000000002</v>
      </c>
      <c r="I83" s="32">
        <f t="shared" si="19"/>
        <v>0.13005963710189061</v>
      </c>
      <c r="J83" s="33">
        <v>13650</v>
      </c>
      <c r="K83" s="34"/>
      <c r="L83" s="35"/>
      <c r="M83" s="36"/>
      <c r="N83" s="18">
        <f t="shared" si="21"/>
        <v>11928</v>
      </c>
      <c r="O83" s="18">
        <f t="shared" si="22"/>
        <v>13240.080000000002</v>
      </c>
      <c r="P83" s="38">
        <f t="shared" si="16"/>
        <v>2.7184125775674937E-2</v>
      </c>
      <c r="Q83" s="33">
        <v>13600</v>
      </c>
      <c r="R83" s="34">
        <v>100</v>
      </c>
      <c r="S83" s="51"/>
      <c r="T83" s="36" t="s">
        <v>142</v>
      </c>
      <c r="U83" s="52">
        <f t="shared" si="23"/>
        <v>13500</v>
      </c>
      <c r="V83" s="53"/>
      <c r="W83" s="54"/>
      <c r="X83" s="55" t="s">
        <v>154</v>
      </c>
      <c r="Y83" s="61"/>
      <c r="Z83" s="62"/>
      <c r="AA83" t="e">
        <f>VLOOKUP(C83,[1]Sheet1!$A$3:$A$141,1,0)</f>
        <v>#N/A</v>
      </c>
      <c r="AB83" t="e">
        <f>VLOOKUP(C83,[2]Sheet1!$A$2:$A$556,1,0)</f>
        <v>#N/A</v>
      </c>
      <c r="AC83" t="e">
        <f>VLOOKUP(C83,[3]MASTER!$D$2:$D$484,1,0)</f>
        <v>#N/A</v>
      </c>
    </row>
    <row r="84" spans="1:29" ht="15.6">
      <c r="A84" s="14"/>
      <c r="B84" s="15">
        <v>20134461</v>
      </c>
      <c r="C84" s="16">
        <v>1702950</v>
      </c>
      <c r="D84" s="19" t="s">
        <v>155</v>
      </c>
      <c r="E84" s="16" t="s">
        <v>46</v>
      </c>
      <c r="F84" s="17"/>
      <c r="G84" s="18">
        <f t="shared" si="24"/>
        <v>11928</v>
      </c>
      <c r="H84" s="18">
        <f t="shared" si="18"/>
        <v>13240.080000000002</v>
      </c>
      <c r="I84" s="32">
        <f t="shared" si="19"/>
        <v>0.13005963710189061</v>
      </c>
      <c r="J84" s="33">
        <v>13650</v>
      </c>
      <c r="K84" s="34"/>
      <c r="L84" s="35"/>
      <c r="M84" s="36"/>
      <c r="N84" s="18">
        <f t="shared" si="21"/>
        <v>11928</v>
      </c>
      <c r="O84" s="18">
        <f t="shared" si="22"/>
        <v>13240.080000000002</v>
      </c>
      <c r="P84" s="38">
        <f t="shared" si="16"/>
        <v>2.7184125775674937E-2</v>
      </c>
      <c r="Q84" s="33">
        <v>13600</v>
      </c>
      <c r="R84" s="34">
        <v>100</v>
      </c>
      <c r="S84" s="51"/>
      <c r="T84" s="36" t="s">
        <v>142</v>
      </c>
      <c r="U84" s="52">
        <f t="shared" si="23"/>
        <v>13500</v>
      </c>
      <c r="V84" s="53"/>
      <c r="W84" s="54"/>
      <c r="X84" s="55" t="s">
        <v>154</v>
      </c>
      <c r="Y84" s="61"/>
      <c r="Z84" s="62"/>
      <c r="AA84" t="e">
        <f>VLOOKUP(C84,[1]Sheet1!$A$3:$A$141,1,0)</f>
        <v>#N/A</v>
      </c>
      <c r="AB84" t="e">
        <f>VLOOKUP(C84,[2]Sheet1!$A$2:$A$556,1,0)</f>
        <v>#N/A</v>
      </c>
      <c r="AC84" t="e">
        <f>VLOOKUP(C84,[3]MASTER!$D$2:$D$484,1,0)</f>
        <v>#N/A</v>
      </c>
    </row>
    <row r="85" spans="1:29" ht="15.6">
      <c r="A85" s="14"/>
      <c r="B85" s="15">
        <v>20134462</v>
      </c>
      <c r="C85" s="16">
        <v>1702960</v>
      </c>
      <c r="D85" s="19" t="s">
        <v>156</v>
      </c>
      <c r="E85" s="16" t="s">
        <v>46</v>
      </c>
      <c r="F85" s="17"/>
      <c r="G85" s="18">
        <f t="shared" si="24"/>
        <v>11928</v>
      </c>
      <c r="H85" s="18">
        <f t="shared" si="18"/>
        <v>13240.080000000002</v>
      </c>
      <c r="I85" s="32">
        <f t="shared" si="19"/>
        <v>0.13005963710189061</v>
      </c>
      <c r="J85" s="33">
        <v>13650</v>
      </c>
      <c r="K85" s="34"/>
      <c r="L85" s="35"/>
      <c r="M85" s="36"/>
      <c r="N85" s="18">
        <f t="shared" si="21"/>
        <v>11928</v>
      </c>
      <c r="O85" s="18">
        <f t="shared" si="22"/>
        <v>13240.080000000002</v>
      </c>
      <c r="P85" s="38">
        <f t="shared" si="16"/>
        <v>2.7184125775674937E-2</v>
      </c>
      <c r="Q85" s="33">
        <v>13600</v>
      </c>
      <c r="R85" s="34">
        <v>100</v>
      </c>
      <c r="S85" s="51"/>
      <c r="T85" s="36" t="s">
        <v>142</v>
      </c>
      <c r="U85" s="52">
        <f t="shared" si="23"/>
        <v>13500</v>
      </c>
      <c r="V85" s="53"/>
      <c r="W85" s="54"/>
      <c r="X85" s="55" t="s">
        <v>154</v>
      </c>
      <c r="Y85" s="61"/>
      <c r="Z85" s="62"/>
      <c r="AA85" t="e">
        <f>VLOOKUP(C85,[1]Sheet1!$A$3:$A$141,1,0)</f>
        <v>#N/A</v>
      </c>
      <c r="AB85" t="e">
        <f>VLOOKUP(C85,[2]Sheet1!$A$2:$A$556,1,0)</f>
        <v>#N/A</v>
      </c>
      <c r="AC85" t="e">
        <f>VLOOKUP(C85,[3]MASTER!$D$2:$D$484,1,0)</f>
        <v>#N/A</v>
      </c>
    </row>
    <row r="86" spans="1:29" ht="15.6">
      <c r="A86" s="14"/>
      <c r="B86" s="15">
        <v>20134463</v>
      </c>
      <c r="C86" s="16">
        <v>1860270</v>
      </c>
      <c r="D86" s="19" t="s">
        <v>157</v>
      </c>
      <c r="E86" s="16" t="s">
        <v>46</v>
      </c>
      <c r="F86" s="17"/>
      <c r="G86" s="18">
        <f t="shared" si="24"/>
        <v>11928</v>
      </c>
      <c r="H86" s="18">
        <f t="shared" si="18"/>
        <v>13240.080000000002</v>
      </c>
      <c r="I86" s="32">
        <f t="shared" si="19"/>
        <v>0.13005963710189061</v>
      </c>
      <c r="J86" s="33">
        <v>13650</v>
      </c>
      <c r="K86" s="34"/>
      <c r="L86" s="35"/>
      <c r="M86" s="36"/>
      <c r="N86" s="18">
        <f t="shared" si="21"/>
        <v>11928</v>
      </c>
      <c r="O86" s="18">
        <f t="shared" si="22"/>
        <v>13240.080000000002</v>
      </c>
      <c r="P86" s="38">
        <f t="shared" si="16"/>
        <v>2.7184125775674937E-2</v>
      </c>
      <c r="Q86" s="33">
        <v>13600</v>
      </c>
      <c r="R86" s="34">
        <v>100</v>
      </c>
      <c r="S86" s="51"/>
      <c r="T86" s="36" t="s">
        <v>142</v>
      </c>
      <c r="U86" s="52">
        <f t="shared" si="23"/>
        <v>13500</v>
      </c>
      <c r="V86" s="53"/>
      <c r="W86" s="54"/>
      <c r="X86" s="55" t="s">
        <v>154</v>
      </c>
      <c r="Y86" s="61"/>
      <c r="Z86" s="62"/>
      <c r="AA86" t="e">
        <f>VLOOKUP(C86,[1]Sheet1!$A$3:$A$141,1,0)</f>
        <v>#N/A</v>
      </c>
      <c r="AB86" t="e">
        <f>VLOOKUP(C86,[2]Sheet1!$A$2:$A$556,1,0)</f>
        <v>#N/A</v>
      </c>
      <c r="AC86" t="e">
        <f>VLOOKUP(C86,[3]MASTER!$D$2:$D$484,1,0)</f>
        <v>#N/A</v>
      </c>
    </row>
    <row r="87" spans="1:29" ht="15.6">
      <c r="A87" s="14">
        <v>2</v>
      </c>
      <c r="B87" s="15">
        <v>20080929</v>
      </c>
      <c r="C87" s="16">
        <v>1687720</v>
      </c>
      <c r="D87" s="19" t="s">
        <v>158</v>
      </c>
      <c r="E87" s="16" t="s">
        <v>46</v>
      </c>
      <c r="F87" s="17">
        <v>72</v>
      </c>
      <c r="G87" s="18"/>
      <c r="H87" s="18"/>
      <c r="I87" s="32"/>
      <c r="J87" s="33"/>
      <c r="K87" s="34"/>
      <c r="L87" s="35"/>
      <c r="M87" s="36"/>
      <c r="N87" s="18">
        <v>3538</v>
      </c>
      <c r="O87" s="18">
        <v>3927.18</v>
      </c>
      <c r="P87" s="38">
        <f t="shared" si="16"/>
        <v>12.750324660443372</v>
      </c>
      <c r="Q87" s="33">
        <v>54000</v>
      </c>
      <c r="R87" s="34">
        <v>12000</v>
      </c>
      <c r="S87" s="51"/>
      <c r="T87" s="36" t="s">
        <v>142</v>
      </c>
      <c r="U87" s="52">
        <f t="shared" si="23"/>
        <v>42000</v>
      </c>
      <c r="V87" s="53"/>
      <c r="W87" s="54"/>
      <c r="X87" s="55" t="s">
        <v>49</v>
      </c>
      <c r="Y87" s="61" t="s">
        <v>187</v>
      </c>
      <c r="Z87" s="62"/>
      <c r="AA87" t="e">
        <f>VLOOKUP(C87,[1]Sheet1!$A$3:$A$141,1,0)</f>
        <v>#N/A</v>
      </c>
      <c r="AB87">
        <f>VLOOKUP(C87,[2]Sheet1!$A$2:$A$556,1,0)</f>
        <v>1687720</v>
      </c>
      <c r="AC87">
        <f>VLOOKUP(C87,[3]MASTER!$D$2:$D$484,1,0)</f>
        <v>1687720</v>
      </c>
    </row>
    <row r="88" spans="1:29" ht="15.6">
      <c r="A88" s="14">
        <v>3</v>
      </c>
      <c r="B88" s="15" t="s">
        <v>159</v>
      </c>
      <c r="C88" s="16">
        <v>1317440</v>
      </c>
      <c r="D88" s="73" t="s">
        <v>160</v>
      </c>
      <c r="E88" s="16" t="s">
        <v>46</v>
      </c>
      <c r="F88" s="17">
        <v>360</v>
      </c>
      <c r="G88" s="18"/>
      <c r="H88" s="18"/>
      <c r="I88" s="32"/>
      <c r="J88" s="33"/>
      <c r="K88" s="34"/>
      <c r="L88" s="35"/>
      <c r="M88" s="36"/>
      <c r="N88" s="18">
        <v>7740</v>
      </c>
      <c r="O88" s="18">
        <v>8591.4</v>
      </c>
      <c r="P88" s="38">
        <f t="shared" si="16"/>
        <v>7.0838280140605767E-2</v>
      </c>
      <c r="Q88" s="33">
        <v>9200</v>
      </c>
      <c r="R88" s="34">
        <v>200</v>
      </c>
      <c r="S88" s="51"/>
      <c r="T88" s="36" t="s">
        <v>142</v>
      </c>
      <c r="U88" s="52">
        <f t="shared" si="23"/>
        <v>9000</v>
      </c>
      <c r="V88" s="53"/>
      <c r="W88" s="54"/>
      <c r="X88" s="55" t="s">
        <v>49</v>
      </c>
      <c r="Y88" s="61" t="s">
        <v>161</v>
      </c>
      <c r="Z88" s="62"/>
      <c r="AA88" t="e">
        <f>VLOOKUP(C88,[1]Sheet1!$A$3:$A$141,1,0)</f>
        <v>#N/A</v>
      </c>
      <c r="AB88">
        <f>VLOOKUP(C88,[2]Sheet1!$A$2:$A$556,1,0)</f>
        <v>1317440</v>
      </c>
      <c r="AC88">
        <f>VLOOKUP(C88,[3]MASTER!$D$2:$D$484,1,0)</f>
        <v>1317440</v>
      </c>
    </row>
    <row r="89" spans="1:29" ht="15.6">
      <c r="A89" s="14"/>
      <c r="B89" s="15" t="s">
        <v>162</v>
      </c>
      <c r="C89" s="16">
        <v>1317450</v>
      </c>
      <c r="D89" s="73" t="s">
        <v>163</v>
      </c>
      <c r="E89" s="16" t="s">
        <v>46</v>
      </c>
      <c r="F89" s="17">
        <v>360</v>
      </c>
      <c r="G89" s="18"/>
      <c r="H89" s="18"/>
      <c r="I89" s="32"/>
      <c r="J89" s="33"/>
      <c r="K89" s="34"/>
      <c r="L89" s="35"/>
      <c r="M89" s="36"/>
      <c r="N89" s="18">
        <v>7740</v>
      </c>
      <c r="O89" s="18">
        <v>8591.4</v>
      </c>
      <c r="P89" s="38">
        <f t="shared" si="16"/>
        <v>7.0838280140605767E-2</v>
      </c>
      <c r="Q89" s="33">
        <v>9200</v>
      </c>
      <c r="R89" s="34">
        <v>200</v>
      </c>
      <c r="S89" s="51"/>
      <c r="T89" s="36" t="s">
        <v>142</v>
      </c>
      <c r="U89" s="52">
        <f t="shared" si="23"/>
        <v>9000</v>
      </c>
      <c r="V89" s="53"/>
      <c r="W89" s="54"/>
      <c r="X89" s="55" t="s">
        <v>49</v>
      </c>
      <c r="Y89" s="61"/>
      <c r="Z89" s="62"/>
      <c r="AA89" t="e">
        <f>VLOOKUP(C89,[1]Sheet1!$A$3:$A$141,1,0)</f>
        <v>#N/A</v>
      </c>
      <c r="AB89">
        <f>VLOOKUP(C89,[2]Sheet1!$A$2:$A$556,1,0)</f>
        <v>1317450</v>
      </c>
      <c r="AC89">
        <f>VLOOKUP(C89,[3]MASTER!$D$2:$D$484,1,0)</f>
        <v>1317450</v>
      </c>
    </row>
    <row r="90" spans="1:29" ht="15.6">
      <c r="A90" s="14">
        <v>4</v>
      </c>
      <c r="B90" s="15">
        <v>10003678</v>
      </c>
      <c r="C90" s="16">
        <v>1117830</v>
      </c>
      <c r="D90" s="73" t="s">
        <v>164</v>
      </c>
      <c r="E90" s="16" t="s">
        <v>46</v>
      </c>
      <c r="F90" s="17">
        <v>30</v>
      </c>
      <c r="G90" s="18"/>
      <c r="H90" s="18"/>
      <c r="I90" s="32"/>
      <c r="J90" s="33"/>
      <c r="K90" s="34"/>
      <c r="L90" s="35"/>
      <c r="M90" s="36"/>
      <c r="N90" s="18">
        <v>1531.53</v>
      </c>
      <c r="O90" s="18">
        <v>1699.9983</v>
      </c>
      <c r="P90" s="38">
        <f t="shared" si="16"/>
        <v>5.8824588236352962E-2</v>
      </c>
      <c r="Q90" s="33">
        <v>1800</v>
      </c>
      <c r="R90" s="34">
        <v>100</v>
      </c>
      <c r="S90" s="51"/>
      <c r="T90" s="36" t="s">
        <v>47</v>
      </c>
      <c r="U90" s="52">
        <f t="shared" si="23"/>
        <v>1700</v>
      </c>
      <c r="V90" s="53">
        <v>1500</v>
      </c>
      <c r="W90" s="54" t="s">
        <v>165</v>
      </c>
      <c r="X90" s="55" t="s">
        <v>166</v>
      </c>
      <c r="Y90" s="61" t="s">
        <v>167</v>
      </c>
      <c r="Z90" s="62"/>
      <c r="AA90" t="e">
        <f>VLOOKUP(C90,[1]Sheet1!$A$3:$A$141,1,0)</f>
        <v>#N/A</v>
      </c>
      <c r="AB90">
        <f>VLOOKUP(C90,[2]Sheet1!$A$2:$A$556,1,0)</f>
        <v>1117830</v>
      </c>
      <c r="AC90">
        <f>VLOOKUP(C90,[3]MASTER!$D$2:$D$484,1,0)</f>
        <v>1117830</v>
      </c>
    </row>
    <row r="91" spans="1:29" ht="15.6">
      <c r="A91" s="14"/>
      <c r="B91" s="15">
        <v>20016199</v>
      </c>
      <c r="C91" s="16">
        <v>1117920</v>
      </c>
      <c r="D91" s="73" t="s">
        <v>168</v>
      </c>
      <c r="E91" s="16" t="s">
        <v>46</v>
      </c>
      <c r="F91" s="17">
        <v>30</v>
      </c>
      <c r="G91" s="18"/>
      <c r="H91" s="18"/>
      <c r="I91" s="32"/>
      <c r="J91" s="33"/>
      <c r="K91" s="34"/>
      <c r="L91" s="35"/>
      <c r="M91" s="36"/>
      <c r="N91" s="18">
        <v>1531.53</v>
      </c>
      <c r="O91" s="18">
        <v>1699.9983</v>
      </c>
      <c r="P91" s="38">
        <f t="shared" si="16"/>
        <v>5.8824588236352962E-2</v>
      </c>
      <c r="Q91" s="33">
        <v>1800</v>
      </c>
      <c r="R91" s="34">
        <v>100</v>
      </c>
      <c r="S91" s="51"/>
      <c r="T91" s="36" t="s">
        <v>47</v>
      </c>
      <c r="U91" s="52">
        <f t="shared" si="23"/>
        <v>1700</v>
      </c>
      <c r="V91" s="53">
        <v>1500</v>
      </c>
      <c r="W91" s="54" t="s">
        <v>165</v>
      </c>
      <c r="X91" s="55" t="s">
        <v>166</v>
      </c>
      <c r="Y91" s="61" t="s">
        <v>167</v>
      </c>
      <c r="Z91" s="62"/>
      <c r="AA91" t="e">
        <f>VLOOKUP(C91,[1]Sheet1!$A$3:$A$141,1,0)</f>
        <v>#N/A</v>
      </c>
      <c r="AB91">
        <f>VLOOKUP(C91,[2]Sheet1!$A$2:$A$556,1,0)</f>
        <v>1117920</v>
      </c>
      <c r="AC91">
        <f>VLOOKUP(C91,[3]MASTER!$D$2:$D$484,1,0)</f>
        <v>1117920</v>
      </c>
    </row>
    <row r="92" spans="1:29" ht="15.6">
      <c r="A92" s="14"/>
      <c r="B92" s="15">
        <v>10000448</v>
      </c>
      <c r="C92" s="16">
        <v>1119280</v>
      </c>
      <c r="D92" s="73" t="s">
        <v>169</v>
      </c>
      <c r="E92" s="16" t="s">
        <v>46</v>
      </c>
      <c r="F92" s="17">
        <v>30</v>
      </c>
      <c r="G92" s="18"/>
      <c r="H92" s="18"/>
      <c r="I92" s="32"/>
      <c r="J92" s="33"/>
      <c r="K92" s="34"/>
      <c r="L92" s="35"/>
      <c r="M92" s="36"/>
      <c r="N92" s="18">
        <v>1531.53</v>
      </c>
      <c r="O92" s="18">
        <v>1699.9983</v>
      </c>
      <c r="P92" s="38">
        <f t="shared" si="16"/>
        <v>5.8824588236352962E-2</v>
      </c>
      <c r="Q92" s="33">
        <v>1800</v>
      </c>
      <c r="R92" s="34">
        <v>100</v>
      </c>
      <c r="S92" s="51"/>
      <c r="T92" s="36" t="s">
        <v>47</v>
      </c>
      <c r="U92" s="52">
        <f t="shared" si="23"/>
        <v>1700</v>
      </c>
      <c r="V92" s="53">
        <v>1500</v>
      </c>
      <c r="W92" s="54" t="s">
        <v>165</v>
      </c>
      <c r="X92" s="55" t="s">
        <v>166</v>
      </c>
      <c r="Y92" s="61" t="s">
        <v>167</v>
      </c>
      <c r="Z92" s="62"/>
      <c r="AA92" t="e">
        <f>VLOOKUP(C92,[1]Sheet1!$A$3:$A$141,1,0)</f>
        <v>#N/A</v>
      </c>
      <c r="AB92">
        <f>VLOOKUP(C92,[2]Sheet1!$A$2:$A$556,1,0)</f>
        <v>1119280</v>
      </c>
      <c r="AC92">
        <f>VLOOKUP(C92,[3]MASTER!$D$2:$D$484,1,0)</f>
        <v>1119280</v>
      </c>
    </row>
    <row r="93" spans="1:29" ht="15.6">
      <c r="A93" s="14"/>
      <c r="B93" s="15">
        <v>20091605</v>
      </c>
      <c r="C93" s="16">
        <v>1266880</v>
      </c>
      <c r="D93" s="73" t="s">
        <v>170</v>
      </c>
      <c r="E93" s="16" t="s">
        <v>46</v>
      </c>
      <c r="F93" s="17">
        <v>30</v>
      </c>
      <c r="G93" s="18"/>
      <c r="H93" s="18"/>
      <c r="I93" s="32"/>
      <c r="J93" s="33"/>
      <c r="K93" s="34"/>
      <c r="L93" s="35"/>
      <c r="M93" s="36"/>
      <c r="N93" s="18">
        <v>1531.53</v>
      </c>
      <c r="O93" s="18">
        <v>1699.9983</v>
      </c>
      <c r="P93" s="38">
        <f t="shared" si="16"/>
        <v>5.8824588236352962E-2</v>
      </c>
      <c r="Q93" s="33">
        <v>1800</v>
      </c>
      <c r="R93" s="34">
        <v>100</v>
      </c>
      <c r="S93" s="51"/>
      <c r="T93" s="36" t="s">
        <v>47</v>
      </c>
      <c r="U93" s="52">
        <f t="shared" si="23"/>
        <v>1700</v>
      </c>
      <c r="V93" s="53">
        <v>1500</v>
      </c>
      <c r="W93" s="54" t="s">
        <v>165</v>
      </c>
      <c r="X93" s="55" t="s">
        <v>166</v>
      </c>
      <c r="Y93" s="61" t="s">
        <v>167</v>
      </c>
      <c r="Z93" s="62"/>
      <c r="AA93" t="e">
        <f>VLOOKUP(C93,[1]Sheet1!$A$3:$A$141,1,0)</f>
        <v>#N/A</v>
      </c>
      <c r="AB93">
        <f>VLOOKUP(C93,[2]Sheet1!$A$2:$A$556,1,0)</f>
        <v>1266880</v>
      </c>
      <c r="AC93" t="e">
        <f>VLOOKUP(C93,[3]MASTER!$D$2:$D$484,1,0)</f>
        <v>#N/A</v>
      </c>
    </row>
    <row r="94" spans="1:29" ht="15.6">
      <c r="A94" s="14"/>
      <c r="B94" s="15">
        <v>20099765</v>
      </c>
      <c r="C94" s="16">
        <v>1536100</v>
      </c>
      <c r="D94" s="73" t="s">
        <v>171</v>
      </c>
      <c r="E94" s="16" t="s">
        <v>46</v>
      </c>
      <c r="F94" s="17">
        <v>30</v>
      </c>
      <c r="G94" s="18"/>
      <c r="H94" s="18"/>
      <c r="I94" s="32"/>
      <c r="J94" s="33"/>
      <c r="K94" s="34"/>
      <c r="L94" s="35"/>
      <c r="M94" s="36"/>
      <c r="N94" s="18">
        <v>1531.53</v>
      </c>
      <c r="O94" s="18">
        <v>1699.9983</v>
      </c>
      <c r="P94" s="38">
        <f t="shared" si="16"/>
        <v>5.8824588236352962E-2</v>
      </c>
      <c r="Q94" s="33">
        <v>1800</v>
      </c>
      <c r="R94" s="34">
        <v>100</v>
      </c>
      <c r="S94" s="51"/>
      <c r="T94" s="36" t="s">
        <v>47</v>
      </c>
      <c r="U94" s="52">
        <f t="shared" si="23"/>
        <v>1700</v>
      </c>
      <c r="V94" s="53">
        <v>1500</v>
      </c>
      <c r="W94" s="54" t="s">
        <v>165</v>
      </c>
      <c r="X94" s="55" t="s">
        <v>166</v>
      </c>
      <c r="Y94" s="61" t="s">
        <v>167</v>
      </c>
      <c r="Z94" s="62"/>
      <c r="AA94" t="e">
        <f>VLOOKUP(C94,[1]Sheet1!$A$3:$A$141,1,0)</f>
        <v>#N/A</v>
      </c>
      <c r="AB94" t="e">
        <f>VLOOKUP(C94,[2]Sheet1!$A$2:$A$556,1,0)</f>
        <v>#N/A</v>
      </c>
      <c r="AC94">
        <f>VLOOKUP(C94,[3]MASTER!$D$2:$D$484,1,0)</f>
        <v>1536100</v>
      </c>
    </row>
    <row r="95" spans="1:29" ht="15.6">
      <c r="A95" s="14"/>
      <c r="B95" s="15">
        <v>20119552</v>
      </c>
      <c r="C95" s="16">
        <v>1435650</v>
      </c>
      <c r="D95" s="73" t="s">
        <v>172</v>
      </c>
      <c r="E95" s="16" t="s">
        <v>46</v>
      </c>
      <c r="F95" s="17">
        <v>30</v>
      </c>
      <c r="G95" s="18"/>
      <c r="H95" s="18"/>
      <c r="I95" s="32"/>
      <c r="J95" s="33"/>
      <c r="K95" s="34"/>
      <c r="L95" s="35"/>
      <c r="M95" s="36"/>
      <c r="N95" s="18">
        <v>1531.53</v>
      </c>
      <c r="O95" s="18">
        <v>1699.9983</v>
      </c>
      <c r="P95" s="38">
        <f t="shared" si="16"/>
        <v>5.8824588236352962E-2</v>
      </c>
      <c r="Q95" s="33">
        <v>1800</v>
      </c>
      <c r="R95" s="34">
        <v>100</v>
      </c>
      <c r="S95" s="51"/>
      <c r="T95" s="36" t="s">
        <v>47</v>
      </c>
      <c r="U95" s="52">
        <f t="shared" si="23"/>
        <v>1700</v>
      </c>
      <c r="V95" s="53">
        <v>1500</v>
      </c>
      <c r="W95" s="54" t="s">
        <v>165</v>
      </c>
      <c r="X95" s="55" t="s">
        <v>166</v>
      </c>
      <c r="Y95" s="61" t="s">
        <v>167</v>
      </c>
      <c r="Z95" s="62"/>
      <c r="AA95" t="e">
        <f>VLOOKUP(C95,[1]Sheet1!$A$3:$A$141,1,0)</f>
        <v>#N/A</v>
      </c>
      <c r="AB95" t="e">
        <f>VLOOKUP(C95,[2]Sheet1!$A$2:$A$556,1,0)</f>
        <v>#N/A</v>
      </c>
      <c r="AC95" t="e">
        <f>VLOOKUP(C95,[3]MASTER!$D$2:$D$484,1,0)</f>
        <v>#N/A</v>
      </c>
    </row>
    <row r="96" spans="1:29" ht="15.6">
      <c r="A96" s="14"/>
      <c r="B96" s="15">
        <v>10003678</v>
      </c>
      <c r="C96" s="16">
        <v>1117830</v>
      </c>
      <c r="D96" s="73" t="s">
        <v>164</v>
      </c>
      <c r="E96" s="16" t="s">
        <v>46</v>
      </c>
      <c r="F96" s="17">
        <v>30</v>
      </c>
      <c r="G96" s="18"/>
      <c r="H96" s="18"/>
      <c r="I96" s="32"/>
      <c r="J96" s="33"/>
      <c r="K96" s="34"/>
      <c r="L96" s="35"/>
      <c r="M96" s="36"/>
      <c r="N96" s="18">
        <v>1585.59</v>
      </c>
      <c r="O96" s="18">
        <v>1760.0048999999999</v>
      </c>
      <c r="P96" s="38">
        <f t="shared" si="16"/>
        <v>5.1133437185316981E-2</v>
      </c>
      <c r="Q96" s="33">
        <v>1850</v>
      </c>
      <c r="R96" s="34">
        <v>100</v>
      </c>
      <c r="S96" s="51"/>
      <c r="T96" s="36" t="s">
        <v>47</v>
      </c>
      <c r="U96" s="52">
        <f t="shared" si="23"/>
        <v>1750</v>
      </c>
      <c r="V96" s="53">
        <v>1500</v>
      </c>
      <c r="W96" s="54" t="s">
        <v>165</v>
      </c>
      <c r="X96" s="55" t="s">
        <v>173</v>
      </c>
      <c r="Y96" s="61" t="s">
        <v>167</v>
      </c>
      <c r="Z96" s="62"/>
      <c r="AA96" t="e">
        <f>VLOOKUP(C96,[1]Sheet1!$A$3:$A$141,1,0)</f>
        <v>#N/A</v>
      </c>
      <c r="AB96">
        <f>VLOOKUP(C96,[2]Sheet1!$A$2:$A$556,1,0)</f>
        <v>1117830</v>
      </c>
      <c r="AC96">
        <f>VLOOKUP(C96,[3]MASTER!$D$2:$D$484,1,0)</f>
        <v>1117830</v>
      </c>
    </row>
    <row r="97" spans="1:29" ht="15.6">
      <c r="A97" s="14"/>
      <c r="B97" s="15">
        <v>20016199</v>
      </c>
      <c r="C97" s="16">
        <v>1117920</v>
      </c>
      <c r="D97" s="73" t="s">
        <v>168</v>
      </c>
      <c r="E97" s="16" t="s">
        <v>46</v>
      </c>
      <c r="F97" s="17">
        <v>30</v>
      </c>
      <c r="G97" s="18"/>
      <c r="H97" s="18"/>
      <c r="I97" s="32"/>
      <c r="J97" s="33"/>
      <c r="K97" s="34"/>
      <c r="L97" s="35"/>
      <c r="M97" s="36"/>
      <c r="N97" s="18">
        <v>1585.59</v>
      </c>
      <c r="O97" s="18">
        <v>1760.0048999999999</v>
      </c>
      <c r="P97" s="38">
        <f t="shared" si="16"/>
        <v>5.1133437185316981E-2</v>
      </c>
      <c r="Q97" s="33">
        <v>1850</v>
      </c>
      <c r="R97" s="34">
        <v>100</v>
      </c>
      <c r="S97" s="51"/>
      <c r="T97" s="36" t="s">
        <v>47</v>
      </c>
      <c r="U97" s="52">
        <f t="shared" si="23"/>
        <v>1750</v>
      </c>
      <c r="V97" s="53">
        <v>1500</v>
      </c>
      <c r="W97" s="54" t="s">
        <v>165</v>
      </c>
      <c r="X97" s="55" t="s">
        <v>173</v>
      </c>
      <c r="Y97" s="61" t="s">
        <v>167</v>
      </c>
      <c r="Z97" s="62"/>
      <c r="AA97" t="e">
        <f>VLOOKUP(C97,[1]Sheet1!$A$3:$A$141,1,0)</f>
        <v>#N/A</v>
      </c>
      <c r="AB97">
        <f>VLOOKUP(C97,[2]Sheet1!$A$2:$A$556,1,0)</f>
        <v>1117920</v>
      </c>
      <c r="AC97">
        <f>VLOOKUP(C97,[3]MASTER!$D$2:$D$484,1,0)</f>
        <v>1117920</v>
      </c>
    </row>
    <row r="98" spans="1:29" ht="15.6">
      <c r="A98" s="14"/>
      <c r="B98" s="15">
        <v>10000448</v>
      </c>
      <c r="C98" s="16">
        <v>1119280</v>
      </c>
      <c r="D98" s="73" t="s">
        <v>169</v>
      </c>
      <c r="E98" s="16" t="s">
        <v>46</v>
      </c>
      <c r="F98" s="17">
        <v>30</v>
      </c>
      <c r="G98" s="18"/>
      <c r="H98" s="18"/>
      <c r="I98" s="32"/>
      <c r="J98" s="33"/>
      <c r="K98" s="34"/>
      <c r="L98" s="35"/>
      <c r="M98" s="36"/>
      <c r="N98" s="18">
        <v>1585.59</v>
      </c>
      <c r="O98" s="18">
        <v>1760.0048999999999</v>
      </c>
      <c r="P98" s="38">
        <f t="shared" si="16"/>
        <v>5.1133437185316981E-2</v>
      </c>
      <c r="Q98" s="33">
        <v>1850</v>
      </c>
      <c r="R98" s="34">
        <v>100</v>
      </c>
      <c r="S98" s="51"/>
      <c r="T98" s="36" t="s">
        <v>47</v>
      </c>
      <c r="U98" s="52">
        <f t="shared" si="23"/>
        <v>1750</v>
      </c>
      <c r="V98" s="53">
        <v>1500</v>
      </c>
      <c r="W98" s="54" t="s">
        <v>165</v>
      </c>
      <c r="X98" s="55" t="s">
        <v>173</v>
      </c>
      <c r="Y98" s="61" t="s">
        <v>167</v>
      </c>
      <c r="Z98" s="62"/>
      <c r="AA98" t="e">
        <f>VLOOKUP(C98,[1]Sheet1!$A$3:$A$141,1,0)</f>
        <v>#N/A</v>
      </c>
      <c r="AB98">
        <f>VLOOKUP(C98,[2]Sheet1!$A$2:$A$556,1,0)</f>
        <v>1119280</v>
      </c>
      <c r="AC98">
        <f>VLOOKUP(C98,[3]MASTER!$D$2:$D$484,1,0)</f>
        <v>1119280</v>
      </c>
    </row>
    <row r="99" spans="1:29" ht="15.6">
      <c r="A99" s="14"/>
      <c r="B99" s="15">
        <v>20091605</v>
      </c>
      <c r="C99" s="16">
        <v>1266880</v>
      </c>
      <c r="D99" s="73" t="s">
        <v>170</v>
      </c>
      <c r="E99" s="16" t="s">
        <v>46</v>
      </c>
      <c r="F99" s="17">
        <v>30</v>
      </c>
      <c r="G99" s="18"/>
      <c r="H99" s="18"/>
      <c r="I99" s="32"/>
      <c r="J99" s="33"/>
      <c r="K99" s="34"/>
      <c r="L99" s="35"/>
      <c r="M99" s="36"/>
      <c r="N99" s="18">
        <v>1585.59</v>
      </c>
      <c r="O99" s="18">
        <v>1760.0048999999999</v>
      </c>
      <c r="P99" s="38">
        <f t="shared" si="16"/>
        <v>5.1133437185316981E-2</v>
      </c>
      <c r="Q99" s="33">
        <v>1850</v>
      </c>
      <c r="R99" s="34">
        <v>100</v>
      </c>
      <c r="S99" s="51"/>
      <c r="T99" s="36" t="s">
        <v>47</v>
      </c>
      <c r="U99" s="52">
        <f t="shared" si="23"/>
        <v>1750</v>
      </c>
      <c r="V99" s="53">
        <v>1500</v>
      </c>
      <c r="W99" s="54" t="s">
        <v>165</v>
      </c>
      <c r="X99" s="55" t="s">
        <v>173</v>
      </c>
      <c r="Y99" s="61" t="s">
        <v>167</v>
      </c>
      <c r="Z99" s="62"/>
      <c r="AA99" t="e">
        <f>VLOOKUP(C99,[1]Sheet1!$A$3:$A$141,1,0)</f>
        <v>#N/A</v>
      </c>
      <c r="AB99">
        <f>VLOOKUP(C99,[2]Sheet1!$A$2:$A$556,1,0)</f>
        <v>1266880</v>
      </c>
      <c r="AC99" t="e">
        <f>VLOOKUP(C99,[3]MASTER!$D$2:$D$484,1,0)</f>
        <v>#N/A</v>
      </c>
    </row>
    <row r="100" spans="1:29" ht="15.6">
      <c r="A100" s="14"/>
      <c r="B100" s="15">
        <v>20099765</v>
      </c>
      <c r="C100" s="16">
        <v>1536100</v>
      </c>
      <c r="D100" s="73" t="s">
        <v>171</v>
      </c>
      <c r="E100" s="16" t="s">
        <v>46</v>
      </c>
      <c r="F100" s="17">
        <v>30</v>
      </c>
      <c r="G100" s="18"/>
      <c r="H100" s="18"/>
      <c r="I100" s="32"/>
      <c r="J100" s="33"/>
      <c r="K100" s="34"/>
      <c r="L100" s="35"/>
      <c r="M100" s="36"/>
      <c r="N100" s="18">
        <v>1585.59</v>
      </c>
      <c r="O100" s="18">
        <v>1760.0048999999999</v>
      </c>
      <c r="P100" s="38">
        <f t="shared" si="16"/>
        <v>5.1133437185316981E-2</v>
      </c>
      <c r="Q100" s="33">
        <v>1850</v>
      </c>
      <c r="R100" s="34">
        <v>100</v>
      </c>
      <c r="S100" s="51"/>
      <c r="T100" s="36" t="s">
        <v>47</v>
      </c>
      <c r="U100" s="52">
        <f t="shared" si="23"/>
        <v>1750</v>
      </c>
      <c r="V100" s="53">
        <v>1500</v>
      </c>
      <c r="W100" s="54" t="s">
        <v>165</v>
      </c>
      <c r="X100" s="55" t="s">
        <v>173</v>
      </c>
      <c r="Y100" s="61" t="s">
        <v>167</v>
      </c>
      <c r="Z100" s="62"/>
      <c r="AA100" t="e">
        <f>VLOOKUP(C100,[1]Sheet1!$A$3:$A$141,1,0)</f>
        <v>#N/A</v>
      </c>
      <c r="AB100" t="e">
        <f>VLOOKUP(C100,[2]Sheet1!$A$2:$A$556,1,0)</f>
        <v>#N/A</v>
      </c>
      <c r="AC100">
        <f>VLOOKUP(C100,[3]MASTER!$D$2:$D$484,1,0)</f>
        <v>1536100</v>
      </c>
    </row>
    <row r="101" spans="1:29" ht="15.6">
      <c r="A101" s="14"/>
      <c r="B101" s="15">
        <v>20119552</v>
      </c>
      <c r="C101" s="16">
        <v>1435650</v>
      </c>
      <c r="D101" s="73" t="s">
        <v>172</v>
      </c>
      <c r="E101" s="16" t="s">
        <v>46</v>
      </c>
      <c r="F101" s="17">
        <v>30</v>
      </c>
      <c r="G101" s="18"/>
      <c r="H101" s="18"/>
      <c r="I101" s="32"/>
      <c r="J101" s="33"/>
      <c r="K101" s="34"/>
      <c r="L101" s="35"/>
      <c r="M101" s="36"/>
      <c r="N101" s="18">
        <v>1585.59</v>
      </c>
      <c r="O101" s="18">
        <v>1760.0048999999999</v>
      </c>
      <c r="P101" s="38">
        <f t="shared" si="16"/>
        <v>5.1133437185316981E-2</v>
      </c>
      <c r="Q101" s="33">
        <v>1850</v>
      </c>
      <c r="R101" s="34">
        <v>100</v>
      </c>
      <c r="S101" s="51"/>
      <c r="T101" s="36" t="s">
        <v>47</v>
      </c>
      <c r="U101" s="52">
        <f t="shared" si="23"/>
        <v>1750</v>
      </c>
      <c r="V101" s="53">
        <v>1500</v>
      </c>
      <c r="W101" s="54" t="s">
        <v>165</v>
      </c>
      <c r="X101" s="55" t="s">
        <v>173</v>
      </c>
      <c r="Y101" s="61" t="s">
        <v>167</v>
      </c>
      <c r="Z101" s="62"/>
      <c r="AA101" t="e">
        <f>VLOOKUP(C101,[1]Sheet1!$A$3:$A$141,1,0)</f>
        <v>#N/A</v>
      </c>
      <c r="AB101" t="e">
        <f>VLOOKUP(C101,[2]Sheet1!$A$2:$A$556,1,0)</f>
        <v>#N/A</v>
      </c>
      <c r="AC101" t="e">
        <f>VLOOKUP(C101,[3]MASTER!$D$2:$D$484,1,0)</f>
        <v>#N/A</v>
      </c>
    </row>
    <row r="102" spans="1:29" ht="15.6">
      <c r="A102" s="14"/>
      <c r="B102" s="15">
        <v>10003678</v>
      </c>
      <c r="C102" s="16">
        <v>1117830</v>
      </c>
      <c r="D102" s="73" t="s">
        <v>164</v>
      </c>
      <c r="E102" s="16" t="s">
        <v>46</v>
      </c>
      <c r="F102" s="17">
        <v>30</v>
      </c>
      <c r="G102" s="18"/>
      <c r="H102" s="18"/>
      <c r="I102" s="32"/>
      <c r="J102" s="33"/>
      <c r="K102" s="34"/>
      <c r="L102" s="35"/>
      <c r="M102" s="36"/>
      <c r="N102" s="18">
        <v>1621.62</v>
      </c>
      <c r="O102" s="18">
        <v>1799.9982</v>
      </c>
      <c r="P102" s="38">
        <f t="shared" si="16"/>
        <v>5.5556611112166671E-2</v>
      </c>
      <c r="Q102" s="33">
        <v>1900</v>
      </c>
      <c r="R102" s="34">
        <v>100</v>
      </c>
      <c r="S102" s="51"/>
      <c r="T102" s="36" t="s">
        <v>47</v>
      </c>
      <c r="U102" s="52">
        <f t="shared" si="23"/>
        <v>1800</v>
      </c>
      <c r="V102" s="53">
        <v>1500</v>
      </c>
      <c r="W102" s="54" t="s">
        <v>165</v>
      </c>
      <c r="X102" s="55" t="s">
        <v>174</v>
      </c>
      <c r="Y102" s="61" t="s">
        <v>167</v>
      </c>
      <c r="Z102" s="62"/>
      <c r="AA102" t="e">
        <f>VLOOKUP(C102,[1]Sheet1!$A$3:$A$141,1,0)</f>
        <v>#N/A</v>
      </c>
      <c r="AB102">
        <f>VLOOKUP(C102,[2]Sheet1!$A$2:$A$556,1,0)</f>
        <v>1117830</v>
      </c>
      <c r="AC102">
        <f>VLOOKUP(C102,[3]MASTER!$D$2:$D$484,1,0)</f>
        <v>1117830</v>
      </c>
    </row>
    <row r="103" spans="1:29" ht="15.6">
      <c r="A103" s="14"/>
      <c r="B103" s="15">
        <v>20016199</v>
      </c>
      <c r="C103" s="16">
        <v>1117920</v>
      </c>
      <c r="D103" s="73" t="s">
        <v>168</v>
      </c>
      <c r="E103" s="16" t="s">
        <v>46</v>
      </c>
      <c r="F103" s="17">
        <v>30</v>
      </c>
      <c r="G103" s="18"/>
      <c r="H103" s="18"/>
      <c r="I103" s="32"/>
      <c r="J103" s="33"/>
      <c r="K103" s="34"/>
      <c r="L103" s="35"/>
      <c r="M103" s="36"/>
      <c r="N103" s="18">
        <v>1621.62</v>
      </c>
      <c r="O103" s="18">
        <v>1799.9982</v>
      </c>
      <c r="P103" s="38">
        <f t="shared" si="16"/>
        <v>5.5556611112166671E-2</v>
      </c>
      <c r="Q103" s="33">
        <v>1900</v>
      </c>
      <c r="R103" s="34">
        <v>100</v>
      </c>
      <c r="S103" s="51"/>
      <c r="T103" s="36" t="s">
        <v>47</v>
      </c>
      <c r="U103" s="52">
        <f t="shared" si="23"/>
        <v>1800</v>
      </c>
      <c r="V103" s="53">
        <v>1500</v>
      </c>
      <c r="W103" s="54" t="s">
        <v>165</v>
      </c>
      <c r="X103" s="55" t="s">
        <v>174</v>
      </c>
      <c r="Y103" s="61" t="s">
        <v>167</v>
      </c>
      <c r="Z103" s="62"/>
      <c r="AA103" t="e">
        <f>VLOOKUP(C103,[1]Sheet1!$A$3:$A$141,1,0)</f>
        <v>#N/A</v>
      </c>
      <c r="AB103">
        <f>VLOOKUP(C103,[2]Sheet1!$A$2:$A$556,1,0)</f>
        <v>1117920</v>
      </c>
      <c r="AC103">
        <f>VLOOKUP(C103,[3]MASTER!$D$2:$D$484,1,0)</f>
        <v>1117920</v>
      </c>
    </row>
    <row r="104" spans="1:29" ht="15.6">
      <c r="A104" s="14"/>
      <c r="B104" s="15">
        <v>10000448</v>
      </c>
      <c r="C104" s="16">
        <v>1119280</v>
      </c>
      <c r="D104" s="73" t="s">
        <v>169</v>
      </c>
      <c r="E104" s="16" t="s">
        <v>46</v>
      </c>
      <c r="F104" s="17">
        <v>30</v>
      </c>
      <c r="G104" s="18"/>
      <c r="H104" s="18"/>
      <c r="I104" s="32"/>
      <c r="J104" s="33"/>
      <c r="K104" s="34"/>
      <c r="L104" s="35"/>
      <c r="M104" s="36"/>
      <c r="N104" s="18">
        <v>1621.62</v>
      </c>
      <c r="O104" s="18">
        <v>1799.9982</v>
      </c>
      <c r="P104" s="38">
        <f t="shared" si="16"/>
        <v>5.5556611112166671E-2</v>
      </c>
      <c r="Q104" s="33">
        <v>1900</v>
      </c>
      <c r="R104" s="34">
        <v>100</v>
      </c>
      <c r="S104" s="51"/>
      <c r="T104" s="36" t="s">
        <v>47</v>
      </c>
      <c r="U104" s="52">
        <f t="shared" si="23"/>
        <v>1800</v>
      </c>
      <c r="V104" s="53">
        <v>1500</v>
      </c>
      <c r="W104" s="54" t="s">
        <v>165</v>
      </c>
      <c r="X104" s="55" t="s">
        <v>174</v>
      </c>
      <c r="Y104" s="61" t="s">
        <v>167</v>
      </c>
      <c r="Z104" s="62"/>
      <c r="AA104" t="e">
        <f>VLOOKUP(C104,[1]Sheet1!$A$3:$A$141,1,0)</f>
        <v>#N/A</v>
      </c>
      <c r="AB104">
        <f>VLOOKUP(C104,[2]Sheet1!$A$2:$A$556,1,0)</f>
        <v>1119280</v>
      </c>
      <c r="AC104">
        <f>VLOOKUP(C104,[3]MASTER!$D$2:$D$484,1,0)</f>
        <v>1119280</v>
      </c>
    </row>
    <row r="105" spans="1:29" ht="15.6">
      <c r="A105" s="14"/>
      <c r="B105" s="15">
        <v>20091605</v>
      </c>
      <c r="C105" s="16">
        <v>1266880</v>
      </c>
      <c r="D105" s="73" t="s">
        <v>170</v>
      </c>
      <c r="E105" s="16" t="s">
        <v>46</v>
      </c>
      <c r="F105" s="17">
        <v>30</v>
      </c>
      <c r="G105" s="18"/>
      <c r="H105" s="18"/>
      <c r="I105" s="32"/>
      <c r="J105" s="33"/>
      <c r="K105" s="34"/>
      <c r="L105" s="35"/>
      <c r="M105" s="36"/>
      <c r="N105" s="18">
        <v>1621.62</v>
      </c>
      <c r="O105" s="18">
        <v>1799.9982</v>
      </c>
      <c r="P105" s="38">
        <f t="shared" si="16"/>
        <v>5.5556611112166671E-2</v>
      </c>
      <c r="Q105" s="33">
        <v>1900</v>
      </c>
      <c r="R105" s="34">
        <v>100</v>
      </c>
      <c r="S105" s="51"/>
      <c r="T105" s="36" t="s">
        <v>47</v>
      </c>
      <c r="U105" s="52">
        <f t="shared" si="23"/>
        <v>1800</v>
      </c>
      <c r="V105" s="53">
        <v>1500</v>
      </c>
      <c r="W105" s="54" t="s">
        <v>165</v>
      </c>
      <c r="X105" s="55" t="s">
        <v>174</v>
      </c>
      <c r="Y105" s="61" t="s">
        <v>167</v>
      </c>
      <c r="Z105" s="62"/>
      <c r="AA105" t="e">
        <f>VLOOKUP(C105,[1]Sheet1!$A$3:$A$141,1,0)</f>
        <v>#N/A</v>
      </c>
      <c r="AB105">
        <f>VLOOKUP(C105,[2]Sheet1!$A$2:$A$556,1,0)</f>
        <v>1266880</v>
      </c>
      <c r="AC105" t="e">
        <f>VLOOKUP(C105,[3]MASTER!$D$2:$D$484,1,0)</f>
        <v>#N/A</v>
      </c>
    </row>
    <row r="106" spans="1:29" ht="15.6">
      <c r="A106" s="14"/>
      <c r="B106" s="15">
        <v>20099765</v>
      </c>
      <c r="C106" s="16">
        <v>1536100</v>
      </c>
      <c r="D106" s="73" t="s">
        <v>171</v>
      </c>
      <c r="E106" s="16" t="s">
        <v>46</v>
      </c>
      <c r="F106" s="17">
        <v>30</v>
      </c>
      <c r="G106" s="18"/>
      <c r="H106" s="18"/>
      <c r="I106" s="32"/>
      <c r="J106" s="33"/>
      <c r="K106" s="34"/>
      <c r="L106" s="35"/>
      <c r="M106" s="36"/>
      <c r="N106" s="18">
        <v>1621.62</v>
      </c>
      <c r="O106" s="18">
        <v>1799.9982</v>
      </c>
      <c r="P106" s="38">
        <f t="shared" si="16"/>
        <v>5.5556611112166671E-2</v>
      </c>
      <c r="Q106" s="33">
        <v>1900</v>
      </c>
      <c r="R106" s="34">
        <v>100</v>
      </c>
      <c r="S106" s="51"/>
      <c r="T106" s="36" t="s">
        <v>47</v>
      </c>
      <c r="U106" s="52">
        <f t="shared" si="23"/>
        <v>1800</v>
      </c>
      <c r="V106" s="53">
        <v>1500</v>
      </c>
      <c r="W106" s="54" t="s">
        <v>165</v>
      </c>
      <c r="X106" s="55" t="s">
        <v>174</v>
      </c>
      <c r="Y106" s="61" t="s">
        <v>167</v>
      </c>
      <c r="Z106" s="62"/>
      <c r="AA106" t="e">
        <f>VLOOKUP(C106,[1]Sheet1!$A$3:$A$141,1,0)</f>
        <v>#N/A</v>
      </c>
      <c r="AB106" t="e">
        <f>VLOOKUP(C106,[2]Sheet1!$A$2:$A$556,1,0)</f>
        <v>#N/A</v>
      </c>
      <c r="AC106">
        <f>VLOOKUP(C106,[3]MASTER!$D$2:$D$484,1,0)</f>
        <v>1536100</v>
      </c>
    </row>
    <row r="107" spans="1:29" ht="15.6">
      <c r="A107" s="14"/>
      <c r="B107" s="15">
        <v>20119552</v>
      </c>
      <c r="C107" s="16">
        <v>1435650</v>
      </c>
      <c r="D107" s="73" t="s">
        <v>172</v>
      </c>
      <c r="E107" s="16" t="s">
        <v>46</v>
      </c>
      <c r="F107" s="17">
        <v>30</v>
      </c>
      <c r="G107" s="18"/>
      <c r="H107" s="18"/>
      <c r="I107" s="32"/>
      <c r="J107" s="33"/>
      <c r="K107" s="34"/>
      <c r="L107" s="35"/>
      <c r="M107" s="36"/>
      <c r="N107" s="18">
        <v>1621.62</v>
      </c>
      <c r="O107" s="18">
        <v>1799.9982</v>
      </c>
      <c r="P107" s="38">
        <f t="shared" si="16"/>
        <v>5.5556611112166671E-2</v>
      </c>
      <c r="Q107" s="33">
        <v>1900</v>
      </c>
      <c r="R107" s="34">
        <v>100</v>
      </c>
      <c r="S107" s="51"/>
      <c r="T107" s="36" t="s">
        <v>47</v>
      </c>
      <c r="U107" s="52">
        <f t="shared" si="23"/>
        <v>1800</v>
      </c>
      <c r="V107" s="53">
        <v>1500</v>
      </c>
      <c r="W107" s="54" t="s">
        <v>165</v>
      </c>
      <c r="X107" s="55" t="s">
        <v>174</v>
      </c>
      <c r="Y107" s="61" t="s">
        <v>167</v>
      </c>
      <c r="Z107" s="62"/>
      <c r="AA107" t="e">
        <f>VLOOKUP(C107,[1]Sheet1!$A$3:$A$141,1,0)</f>
        <v>#N/A</v>
      </c>
      <c r="AB107" t="e">
        <f>VLOOKUP(C107,[2]Sheet1!$A$2:$A$556,1,0)</f>
        <v>#N/A</v>
      </c>
      <c r="AC107" t="e">
        <f>VLOOKUP(C107,[3]MASTER!$D$2:$D$484,1,0)</f>
        <v>#N/A</v>
      </c>
    </row>
    <row r="108" spans="1:29" ht="15.6">
      <c r="A108" s="14">
        <v>5</v>
      </c>
      <c r="B108" s="15">
        <v>10025483</v>
      </c>
      <c r="C108" s="16">
        <v>1136980</v>
      </c>
      <c r="D108" s="73" t="s">
        <v>175</v>
      </c>
      <c r="E108" s="16" t="s">
        <v>46</v>
      </c>
      <c r="F108" s="17">
        <v>144</v>
      </c>
      <c r="G108" s="18"/>
      <c r="H108" s="18"/>
      <c r="I108" s="32"/>
      <c r="J108" s="33"/>
      <c r="K108" s="34"/>
      <c r="L108" s="35"/>
      <c r="M108" s="36"/>
      <c r="N108" s="18">
        <v>3756.71</v>
      </c>
      <c r="O108" s="18">
        <v>4169.9480999999996</v>
      </c>
      <c r="P108" s="38">
        <f t="shared" si="16"/>
        <v>3.1187894161080903E-2</v>
      </c>
      <c r="Q108" s="33">
        <v>4300</v>
      </c>
      <c r="R108" s="34"/>
      <c r="S108" s="51"/>
      <c r="T108" s="36" t="s">
        <v>47</v>
      </c>
      <c r="U108" s="52">
        <f t="shared" si="23"/>
        <v>4300</v>
      </c>
      <c r="V108" s="53">
        <v>5000</v>
      </c>
      <c r="W108" s="54" t="s">
        <v>88</v>
      </c>
      <c r="X108" s="55" t="s">
        <v>49</v>
      </c>
      <c r="Y108" s="61"/>
      <c r="Z108" s="62"/>
      <c r="AA108" t="e">
        <f>VLOOKUP(C108,[1]Sheet1!$A$3:$A$141,1,0)</f>
        <v>#N/A</v>
      </c>
      <c r="AB108">
        <f>VLOOKUP(C108,[2]Sheet1!$A$2:$A$556,1,0)</f>
        <v>1136980</v>
      </c>
      <c r="AC108">
        <f>VLOOKUP(C108,[3]MASTER!$D$2:$D$484,1,0)</f>
        <v>1136980</v>
      </c>
    </row>
    <row r="109" spans="1:29" ht="15.6">
      <c r="A109" s="14"/>
      <c r="B109" s="15">
        <v>20034716</v>
      </c>
      <c r="C109" s="16">
        <v>1185310</v>
      </c>
      <c r="D109" s="73" t="s">
        <v>176</v>
      </c>
      <c r="E109" s="16" t="s">
        <v>46</v>
      </c>
      <c r="F109" s="17">
        <v>144</v>
      </c>
      <c r="G109" s="18"/>
      <c r="H109" s="18"/>
      <c r="I109" s="32"/>
      <c r="J109" s="33"/>
      <c r="K109" s="34"/>
      <c r="L109" s="35"/>
      <c r="M109" s="36"/>
      <c r="N109" s="18">
        <v>3756.71</v>
      </c>
      <c r="O109" s="18">
        <v>4169.9480999999996</v>
      </c>
      <c r="P109" s="38">
        <f t="shared" si="16"/>
        <v>3.1187894161080903E-2</v>
      </c>
      <c r="Q109" s="33">
        <v>4300</v>
      </c>
      <c r="R109" s="34"/>
      <c r="S109" s="51"/>
      <c r="T109" s="36" t="s">
        <v>47</v>
      </c>
      <c r="U109" s="52">
        <f t="shared" si="23"/>
        <v>4300</v>
      </c>
      <c r="V109" s="53">
        <v>5000</v>
      </c>
      <c r="W109" s="54" t="s">
        <v>88</v>
      </c>
      <c r="X109" s="55" t="s">
        <v>49</v>
      </c>
      <c r="Y109" s="61"/>
      <c r="Z109" s="62"/>
      <c r="AA109" t="e">
        <f>VLOOKUP(C109,[1]Sheet1!$A$3:$A$141,1,0)</f>
        <v>#N/A</v>
      </c>
      <c r="AB109" t="e">
        <f>VLOOKUP(C109,[2]Sheet1!$A$2:$A$556,1,0)</f>
        <v>#N/A</v>
      </c>
      <c r="AC109" t="e">
        <f>VLOOKUP(C109,[3]MASTER!$D$2:$D$484,1,0)</f>
        <v>#N/A</v>
      </c>
    </row>
    <row r="110" spans="1:29" ht="15.6">
      <c r="A110" s="14"/>
      <c r="B110" s="15">
        <v>10025484</v>
      </c>
      <c r="C110" s="16">
        <v>1136990</v>
      </c>
      <c r="D110" s="73" t="s">
        <v>177</v>
      </c>
      <c r="E110" s="16" t="s">
        <v>46</v>
      </c>
      <c r="F110" s="17">
        <v>144</v>
      </c>
      <c r="G110" s="18"/>
      <c r="H110" s="18"/>
      <c r="I110" s="32"/>
      <c r="J110" s="33"/>
      <c r="K110" s="34"/>
      <c r="L110" s="35"/>
      <c r="M110" s="36"/>
      <c r="N110" s="18">
        <v>3756.71</v>
      </c>
      <c r="O110" s="18">
        <v>4169.9480999999996</v>
      </c>
      <c r="P110" s="38">
        <f t="shared" si="16"/>
        <v>3.1187894161080903E-2</v>
      </c>
      <c r="Q110" s="33">
        <v>4300</v>
      </c>
      <c r="R110" s="34"/>
      <c r="S110" s="51"/>
      <c r="T110" s="36" t="s">
        <v>47</v>
      </c>
      <c r="U110" s="52">
        <f t="shared" si="23"/>
        <v>4300</v>
      </c>
      <c r="V110" s="53">
        <v>5000</v>
      </c>
      <c r="W110" s="54" t="s">
        <v>88</v>
      </c>
      <c r="X110" s="55" t="s">
        <v>49</v>
      </c>
      <c r="Y110" s="61"/>
      <c r="Z110" s="62"/>
      <c r="AA110" t="e">
        <f>VLOOKUP(C110,[1]Sheet1!$A$3:$A$141,1,0)</f>
        <v>#N/A</v>
      </c>
      <c r="AB110">
        <f>VLOOKUP(C110,[2]Sheet1!$A$2:$A$556,1,0)</f>
        <v>1136990</v>
      </c>
      <c r="AC110">
        <f>VLOOKUP(C110,[3]MASTER!$D$2:$D$484,1,0)</f>
        <v>1136990</v>
      </c>
    </row>
    <row r="111" spans="1:29" ht="15.6">
      <c r="A111" s="14"/>
      <c r="B111" s="15">
        <v>20032425</v>
      </c>
      <c r="C111" s="16">
        <v>1477860</v>
      </c>
      <c r="D111" s="73" t="s">
        <v>178</v>
      </c>
      <c r="E111" s="16" t="s">
        <v>46</v>
      </c>
      <c r="F111" s="17">
        <v>144</v>
      </c>
      <c r="G111" s="18"/>
      <c r="H111" s="18"/>
      <c r="I111" s="32"/>
      <c r="J111" s="33"/>
      <c r="K111" s="34"/>
      <c r="L111" s="35"/>
      <c r="M111" s="36"/>
      <c r="N111" s="18">
        <v>3756.71</v>
      </c>
      <c r="O111" s="18">
        <v>4169.9480999999996</v>
      </c>
      <c r="P111" s="38">
        <f t="shared" si="16"/>
        <v>3.1187894161080903E-2</v>
      </c>
      <c r="Q111" s="33">
        <v>4300</v>
      </c>
      <c r="R111" s="34"/>
      <c r="S111" s="51"/>
      <c r="T111" s="36" t="s">
        <v>47</v>
      </c>
      <c r="U111" s="52">
        <f t="shared" si="23"/>
        <v>4300</v>
      </c>
      <c r="V111" s="53">
        <v>5000</v>
      </c>
      <c r="W111" s="54" t="s">
        <v>88</v>
      </c>
      <c r="X111" s="55" t="s">
        <v>49</v>
      </c>
      <c r="Y111" s="61"/>
      <c r="Z111" s="62"/>
      <c r="AA111" t="e">
        <f>VLOOKUP(C111,[1]Sheet1!$A$3:$A$141,1,0)</f>
        <v>#N/A</v>
      </c>
      <c r="AB111">
        <f>VLOOKUP(C111,[2]Sheet1!$A$2:$A$556,1,0)</f>
        <v>1477860</v>
      </c>
      <c r="AC111">
        <f>VLOOKUP(C111,[3]MASTER!$D$2:$D$484,1,0)</f>
        <v>1477860</v>
      </c>
    </row>
    <row r="112" spans="1:29" ht="15.6">
      <c r="A112" s="14"/>
      <c r="B112" s="15">
        <v>20032424</v>
      </c>
      <c r="C112" s="16">
        <v>1477850</v>
      </c>
      <c r="D112" s="73" t="s">
        <v>179</v>
      </c>
      <c r="E112" s="16" t="s">
        <v>46</v>
      </c>
      <c r="F112" s="17">
        <v>144</v>
      </c>
      <c r="G112" s="18"/>
      <c r="H112" s="18"/>
      <c r="I112" s="32"/>
      <c r="J112" s="33"/>
      <c r="K112" s="34"/>
      <c r="L112" s="35"/>
      <c r="M112" s="36"/>
      <c r="N112" s="18">
        <v>3756.71</v>
      </c>
      <c r="O112" s="18">
        <v>4169.9480999999996</v>
      </c>
      <c r="P112" s="38">
        <f t="shared" si="16"/>
        <v>3.1187894161080903E-2</v>
      </c>
      <c r="Q112" s="33">
        <v>4300</v>
      </c>
      <c r="R112" s="34"/>
      <c r="S112" s="51"/>
      <c r="T112" s="36" t="s">
        <v>47</v>
      </c>
      <c r="U112" s="52">
        <f t="shared" si="23"/>
        <v>4300</v>
      </c>
      <c r="V112" s="53">
        <v>5000</v>
      </c>
      <c r="W112" s="54" t="s">
        <v>88</v>
      </c>
      <c r="X112" s="55" t="s">
        <v>49</v>
      </c>
      <c r="Y112" s="61"/>
      <c r="Z112" s="62"/>
      <c r="AA112" t="e">
        <f>VLOOKUP(C112,[1]Sheet1!$A$3:$A$141,1,0)</f>
        <v>#N/A</v>
      </c>
      <c r="AB112">
        <f>VLOOKUP(C112,[2]Sheet1!$A$2:$A$556,1,0)</f>
        <v>1477850</v>
      </c>
      <c r="AC112">
        <f>VLOOKUP(C112,[3]MASTER!$D$2:$D$484,1,0)</f>
        <v>1477850</v>
      </c>
    </row>
    <row r="113" spans="1:29" ht="15.6">
      <c r="A113" s="14"/>
      <c r="B113" s="15">
        <v>10016079</v>
      </c>
      <c r="C113" s="16">
        <v>1136970</v>
      </c>
      <c r="D113" s="73" t="s">
        <v>180</v>
      </c>
      <c r="E113" s="16" t="s">
        <v>46</v>
      </c>
      <c r="F113" s="17">
        <v>144</v>
      </c>
      <c r="G113" s="18"/>
      <c r="H113" s="18"/>
      <c r="I113" s="32"/>
      <c r="J113" s="33"/>
      <c r="K113" s="34"/>
      <c r="L113" s="35"/>
      <c r="M113" s="36"/>
      <c r="N113" s="18">
        <v>3756.71</v>
      </c>
      <c r="O113" s="18">
        <v>4169.9480999999996</v>
      </c>
      <c r="P113" s="38">
        <f t="shared" si="16"/>
        <v>3.1187894161080903E-2</v>
      </c>
      <c r="Q113" s="33">
        <v>4300</v>
      </c>
      <c r="R113" s="34"/>
      <c r="S113" s="51"/>
      <c r="T113" s="36" t="s">
        <v>47</v>
      </c>
      <c r="U113" s="52">
        <f t="shared" si="23"/>
        <v>4300</v>
      </c>
      <c r="V113" s="53">
        <v>5000</v>
      </c>
      <c r="W113" s="54" t="s">
        <v>88</v>
      </c>
      <c r="X113" s="55" t="s">
        <v>49</v>
      </c>
      <c r="Y113" s="61"/>
      <c r="Z113" s="62"/>
      <c r="AA113" t="e">
        <f>VLOOKUP(C113,[1]Sheet1!$A$3:$A$141,1,0)</f>
        <v>#N/A</v>
      </c>
      <c r="AB113">
        <f>VLOOKUP(C113,[2]Sheet1!$A$2:$A$556,1,0)</f>
        <v>1136970</v>
      </c>
      <c r="AC113">
        <f>VLOOKUP(C113,[3]MASTER!$D$2:$D$484,1,0)</f>
        <v>1136970</v>
      </c>
    </row>
    <row r="114" spans="1:29" ht="15.6">
      <c r="A114" s="14">
        <v>6</v>
      </c>
      <c r="B114" s="15">
        <v>20113369</v>
      </c>
      <c r="C114" s="16">
        <v>1626070</v>
      </c>
      <c r="D114" s="73" t="s">
        <v>181</v>
      </c>
      <c r="E114" s="16" t="s">
        <v>46</v>
      </c>
      <c r="F114" s="17">
        <v>48</v>
      </c>
      <c r="G114" s="18"/>
      <c r="H114" s="18"/>
      <c r="I114" s="32"/>
      <c r="J114" s="33"/>
      <c r="K114" s="34"/>
      <c r="L114" s="35"/>
      <c r="M114" s="36"/>
      <c r="N114" s="18">
        <f t="shared" ref="N114:N116" si="25">3588.68*5</f>
        <v>17943.399999999998</v>
      </c>
      <c r="O114" s="18">
        <f t="shared" ref="O114:O116" si="26">3983.4348*5</f>
        <v>19917.173999999999</v>
      </c>
      <c r="P114" s="38">
        <f t="shared" si="16"/>
        <v>0.12967833689658989</v>
      </c>
      <c r="Q114" s="33">
        <f t="shared" ref="Q114:Q116" si="27">4500*5</f>
        <v>22500</v>
      </c>
      <c r="R114" s="34">
        <v>3500</v>
      </c>
      <c r="S114" s="51"/>
      <c r="T114" s="36" t="s">
        <v>182</v>
      </c>
      <c r="U114" s="52">
        <f t="shared" si="23"/>
        <v>19000</v>
      </c>
      <c r="V114" s="53"/>
      <c r="W114" s="54"/>
      <c r="X114" s="55" t="s">
        <v>49</v>
      </c>
      <c r="Y114" s="61"/>
      <c r="Z114" s="62"/>
      <c r="AA114">
        <f>VLOOKUP(C114,[1]Sheet1!$A$3:$A$141,1,0)</f>
        <v>1626070</v>
      </c>
      <c r="AB114">
        <f>VLOOKUP(C114,[2]Sheet1!$A$2:$A$556,1,0)</f>
        <v>1626070</v>
      </c>
      <c r="AC114">
        <f>VLOOKUP(C114,[3]MASTER!$D$2:$D$484,1,0)</f>
        <v>1626070</v>
      </c>
    </row>
    <row r="115" spans="1:29" ht="15.6">
      <c r="A115" s="14"/>
      <c r="B115" s="15">
        <v>20113370</v>
      </c>
      <c r="C115" s="16">
        <v>1626080</v>
      </c>
      <c r="D115" s="73" t="s">
        <v>183</v>
      </c>
      <c r="E115" s="16" t="s">
        <v>46</v>
      </c>
      <c r="F115" s="17">
        <v>48</v>
      </c>
      <c r="G115" s="18"/>
      <c r="H115" s="18"/>
      <c r="I115" s="32"/>
      <c r="J115" s="33"/>
      <c r="K115" s="34"/>
      <c r="L115" s="35"/>
      <c r="M115" s="36"/>
      <c r="N115" s="18">
        <f t="shared" si="25"/>
        <v>17943.399999999998</v>
      </c>
      <c r="O115" s="18">
        <f t="shared" si="26"/>
        <v>19917.173999999999</v>
      </c>
      <c r="P115" s="38">
        <f t="shared" si="16"/>
        <v>0.12967833689658989</v>
      </c>
      <c r="Q115" s="33">
        <f t="shared" si="27"/>
        <v>22500</v>
      </c>
      <c r="R115" s="34">
        <v>3500</v>
      </c>
      <c r="S115" s="51"/>
      <c r="T115" s="36" t="s">
        <v>182</v>
      </c>
      <c r="U115" s="52">
        <f t="shared" si="23"/>
        <v>19000</v>
      </c>
      <c r="V115" s="53"/>
      <c r="W115" s="54"/>
      <c r="X115" s="55" t="s">
        <v>49</v>
      </c>
      <c r="Y115" s="61"/>
      <c r="Z115" s="62"/>
      <c r="AA115" t="e">
        <f>VLOOKUP(C115,[1]Sheet1!$A$3:$A$141,1,0)</f>
        <v>#N/A</v>
      </c>
      <c r="AB115">
        <f>VLOOKUP(C115,[2]Sheet1!$A$2:$A$556,1,0)</f>
        <v>1626080</v>
      </c>
      <c r="AC115">
        <f>VLOOKUP(C115,[3]MASTER!$D$2:$D$484,1,0)</f>
        <v>1626080</v>
      </c>
    </row>
    <row r="116" spans="1:29" ht="15.6">
      <c r="A116" s="14"/>
      <c r="B116" s="15">
        <v>20134118</v>
      </c>
      <c r="C116" s="16">
        <v>1685920</v>
      </c>
      <c r="D116" s="73" t="s">
        <v>184</v>
      </c>
      <c r="E116" s="16" t="s">
        <v>46</v>
      </c>
      <c r="F116" s="17">
        <v>48</v>
      </c>
      <c r="G116" s="18"/>
      <c r="H116" s="18"/>
      <c r="I116" s="32"/>
      <c r="J116" s="33"/>
      <c r="K116" s="34"/>
      <c r="L116" s="35"/>
      <c r="M116" s="36"/>
      <c r="N116" s="18">
        <f t="shared" si="25"/>
        <v>17943.399999999998</v>
      </c>
      <c r="O116" s="18">
        <f t="shared" si="26"/>
        <v>19917.173999999999</v>
      </c>
      <c r="P116" s="38">
        <f t="shared" si="16"/>
        <v>0.12967833689658989</v>
      </c>
      <c r="Q116" s="33">
        <f t="shared" si="27"/>
        <v>22500</v>
      </c>
      <c r="R116" s="34">
        <v>3500</v>
      </c>
      <c r="S116" s="51"/>
      <c r="T116" s="36" t="s">
        <v>182</v>
      </c>
      <c r="U116" s="52">
        <f t="shared" si="23"/>
        <v>19000</v>
      </c>
      <c r="V116" s="53"/>
      <c r="W116" s="54"/>
      <c r="X116" s="55" t="s">
        <v>49</v>
      </c>
      <c r="Y116" s="61"/>
      <c r="Z116" s="62"/>
      <c r="AA116" t="e">
        <f>VLOOKUP(C116,[1]Sheet1!$A$3:$A$141,1,0)</f>
        <v>#N/A</v>
      </c>
      <c r="AB116" t="e">
        <f>VLOOKUP(C116,[2]Sheet1!$A$2:$A$556,1,0)</f>
        <v>#N/A</v>
      </c>
      <c r="AC116" t="e">
        <f>VLOOKUP(C116,[3]MASTER!$D$2:$D$484,1,0)</f>
        <v>#N/A</v>
      </c>
    </row>
    <row r="117" spans="1:29" ht="15.6">
      <c r="A117" s="14">
        <v>7</v>
      </c>
      <c r="B117" s="15">
        <v>10004048</v>
      </c>
      <c r="C117" s="16">
        <v>36630</v>
      </c>
      <c r="D117" s="73" t="s">
        <v>185</v>
      </c>
      <c r="E117" s="16" t="s">
        <v>46</v>
      </c>
      <c r="F117" s="17">
        <v>144</v>
      </c>
      <c r="G117" s="18"/>
      <c r="H117" s="18"/>
      <c r="I117" s="32"/>
      <c r="J117" s="33"/>
      <c r="K117" s="34"/>
      <c r="L117" s="35"/>
      <c r="M117" s="36"/>
      <c r="N117" s="18">
        <v>3820.36</v>
      </c>
      <c r="O117" s="18">
        <v>4240.5995999999996</v>
      </c>
      <c r="P117" s="38">
        <f t="shared" si="16"/>
        <v>6.1170689163862695E-2</v>
      </c>
      <c r="Q117" s="33">
        <v>4500</v>
      </c>
      <c r="R117" s="34"/>
      <c r="S117" s="51"/>
      <c r="T117" s="36" t="s">
        <v>47</v>
      </c>
      <c r="U117" s="52">
        <f t="shared" si="23"/>
        <v>4500</v>
      </c>
      <c r="V117" s="53"/>
      <c r="W117" s="54"/>
      <c r="X117" s="55" t="s">
        <v>49</v>
      </c>
      <c r="Y117" s="61" t="s">
        <v>186</v>
      </c>
      <c r="Z117" s="62"/>
      <c r="AA117">
        <f>VLOOKUP(C117,[1]Sheet1!$A$3:$A$141,1,0)</f>
        <v>36630</v>
      </c>
      <c r="AB117">
        <f>VLOOKUP(C117,[2]Sheet1!$A$2:$A$556,1,0)</f>
        <v>36630</v>
      </c>
      <c r="AC117">
        <f>VLOOKUP(C117,[3]MASTER!$D$2:$D$484,1,0)</f>
        <v>36630</v>
      </c>
    </row>
  </sheetData>
  <mergeCells count="14">
    <mergeCell ref="A5:A8"/>
    <mergeCell ref="B7:B8"/>
    <mergeCell ref="C7:C8"/>
    <mergeCell ref="D5:D8"/>
    <mergeCell ref="U7:U8"/>
    <mergeCell ref="B5:C6"/>
    <mergeCell ref="E5:F8"/>
    <mergeCell ref="N5:Q6"/>
    <mergeCell ref="R5:U6"/>
    <mergeCell ref="V5:V8"/>
    <mergeCell ref="W5:W8"/>
    <mergeCell ref="X5:X8"/>
    <mergeCell ref="Y5:Y8"/>
    <mergeCell ref="Z5:Z8"/>
  </mergeCells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532C6-5B0C-464E-900B-8D2C1CEB3DD3}">
  <dimension ref="A1:X119"/>
  <sheetViews>
    <sheetView workbookViewId="0">
      <selection activeCell="O7" sqref="O7:P42"/>
    </sheetView>
  </sheetViews>
  <sheetFormatPr defaultRowHeight="14.4"/>
  <cols>
    <col min="1" max="1" width="8" bestFit="1" customWidth="1"/>
    <col min="2" max="2" width="8.33203125" bestFit="1" customWidth="1"/>
    <col min="3" max="3" width="11.5546875" bestFit="1" customWidth="1"/>
    <col min="4" max="5" width="4.44140625" bestFit="1" customWidth="1"/>
    <col min="6" max="6" width="9.33203125" bestFit="1" customWidth="1"/>
    <col min="7" max="7" width="9.33203125" customWidth="1"/>
    <col min="8" max="8" width="5.88671875" bestFit="1" customWidth="1"/>
    <col min="9" max="9" width="11.6640625" bestFit="1" customWidth="1"/>
    <col min="11" max="11" width="16.5546875" bestFit="1" customWidth="1"/>
    <col min="12" max="12" width="24.21875" customWidth="1"/>
    <col min="13" max="13" width="15.109375" bestFit="1" customWidth="1"/>
    <col min="15" max="15" width="23.5546875" customWidth="1"/>
  </cols>
  <sheetData>
    <row r="1" spans="1:24">
      <c r="A1" t="s">
        <v>188</v>
      </c>
      <c r="B1" t="s">
        <v>189</v>
      </c>
      <c r="C1" t="s">
        <v>190</v>
      </c>
      <c r="D1" t="s">
        <v>191</v>
      </c>
      <c r="E1" t="s">
        <v>192</v>
      </c>
      <c r="F1" t="s">
        <v>193</v>
      </c>
      <c r="G1" t="s">
        <v>195</v>
      </c>
      <c r="H1" t="s">
        <v>194</v>
      </c>
      <c r="I1" s="75" t="s">
        <v>212</v>
      </c>
      <c r="J1" s="75" t="s">
        <v>194</v>
      </c>
      <c r="K1" s="75" t="s">
        <v>213</v>
      </c>
      <c r="L1" s="75" t="s">
        <v>194</v>
      </c>
      <c r="M1" s="75" t="s">
        <v>214</v>
      </c>
      <c r="N1" s="75" t="s">
        <v>194</v>
      </c>
      <c r="P1" s="74" t="s">
        <v>208</v>
      </c>
      <c r="Q1" t="s">
        <v>201</v>
      </c>
      <c r="R1" t="s">
        <v>202</v>
      </c>
      <c r="S1" t="s">
        <v>203</v>
      </c>
      <c r="T1" t="s">
        <v>204</v>
      </c>
      <c r="U1" t="s">
        <v>205</v>
      </c>
      <c r="V1" t="s">
        <v>206</v>
      </c>
      <c r="W1" t="s">
        <v>207</v>
      </c>
      <c r="X1" s="74" t="s">
        <v>210</v>
      </c>
    </row>
    <row r="2" spans="1:24">
      <c r="A2" s="74">
        <v>60410</v>
      </c>
      <c r="B2" s="75" t="s">
        <v>211</v>
      </c>
      <c r="C2">
        <v>10</v>
      </c>
      <c r="D2">
        <v>2</v>
      </c>
      <c r="E2">
        <v>3</v>
      </c>
      <c r="F2">
        <v>5</v>
      </c>
      <c r="G2" t="s">
        <v>42</v>
      </c>
      <c r="K2">
        <v>3000</v>
      </c>
      <c r="L2" s="75" t="s">
        <v>215</v>
      </c>
      <c r="P2" s="74">
        <v>60410</v>
      </c>
      <c r="Q2" t="s">
        <v>209</v>
      </c>
      <c r="R2" t="s">
        <v>209</v>
      </c>
      <c r="S2" t="s">
        <v>209</v>
      </c>
      <c r="T2" t="s">
        <v>209</v>
      </c>
      <c r="U2" t="s">
        <v>209</v>
      </c>
      <c r="V2" t="s">
        <v>209</v>
      </c>
      <c r="W2" t="s">
        <v>209</v>
      </c>
      <c r="X2" s="74" t="s">
        <v>209</v>
      </c>
    </row>
    <row r="3" spans="1:24">
      <c r="G3" t="s">
        <v>60</v>
      </c>
    </row>
    <row r="4" spans="1:24">
      <c r="G4" t="s">
        <v>196</v>
      </c>
    </row>
    <row r="5" spans="1:24">
      <c r="G5" t="s">
        <v>197</v>
      </c>
    </row>
    <row r="6" spans="1:24">
      <c r="G6" t="s">
        <v>198</v>
      </c>
    </row>
    <row r="7" spans="1:24">
      <c r="G7" t="s">
        <v>199</v>
      </c>
      <c r="O7" s="111" t="s">
        <v>217</v>
      </c>
      <c r="P7" s="112" t="s">
        <v>232</v>
      </c>
    </row>
    <row r="8" spans="1:24">
      <c r="G8" t="s">
        <v>200</v>
      </c>
      <c r="O8" s="111" t="s">
        <v>218</v>
      </c>
      <c r="P8" s="112" t="s">
        <v>233</v>
      </c>
    </row>
    <row r="9" spans="1:24">
      <c r="O9" s="111" t="s">
        <v>219</v>
      </c>
      <c r="P9" s="112" t="s">
        <v>234</v>
      </c>
    </row>
    <row r="10" spans="1:24">
      <c r="O10" s="111" t="s">
        <v>220</v>
      </c>
      <c r="P10" s="112" t="s">
        <v>235</v>
      </c>
    </row>
    <row r="11" spans="1:24">
      <c r="O11" s="111" t="s">
        <v>221</v>
      </c>
      <c r="P11" s="112" t="s">
        <v>236</v>
      </c>
    </row>
    <row r="12" spans="1:24">
      <c r="O12" s="111" t="s">
        <v>222</v>
      </c>
      <c r="P12" s="112" t="s">
        <v>237</v>
      </c>
    </row>
    <row r="13" spans="1:24">
      <c r="K13" s="55" t="s">
        <v>49</v>
      </c>
      <c r="L13" s="110" t="s">
        <v>216</v>
      </c>
      <c r="O13" s="111" t="s">
        <v>223</v>
      </c>
      <c r="P13" s="112" t="s">
        <v>238</v>
      </c>
    </row>
    <row r="14" spans="1:24">
      <c r="K14" s="55" t="s">
        <v>49</v>
      </c>
      <c r="L14" s="110" t="s">
        <v>60</v>
      </c>
      <c r="O14" s="111" t="s">
        <v>224</v>
      </c>
      <c r="P14" s="112" t="s">
        <v>239</v>
      </c>
    </row>
    <row r="15" spans="1:24">
      <c r="K15" s="55" t="s">
        <v>49</v>
      </c>
      <c r="O15" s="111" t="s">
        <v>225</v>
      </c>
      <c r="P15" s="112" t="s">
        <v>240</v>
      </c>
    </row>
    <row r="16" spans="1:24">
      <c r="K16" s="55" t="s">
        <v>49</v>
      </c>
      <c r="O16" s="111" t="s">
        <v>226</v>
      </c>
      <c r="P16" s="112" t="s">
        <v>241</v>
      </c>
    </row>
    <row r="17" spans="11:16">
      <c r="K17" s="55" t="s">
        <v>49</v>
      </c>
      <c r="O17" s="111" t="s">
        <v>227</v>
      </c>
      <c r="P17" s="112" t="s">
        <v>242</v>
      </c>
    </row>
    <row r="18" spans="11:16">
      <c r="K18" s="55" t="s">
        <v>60</v>
      </c>
      <c r="O18" s="111" t="s">
        <v>228</v>
      </c>
      <c r="P18" s="112" t="s">
        <v>243</v>
      </c>
    </row>
    <row r="19" spans="11:16">
      <c r="K19" s="55" t="s">
        <v>62</v>
      </c>
      <c r="O19" s="111" t="s">
        <v>229</v>
      </c>
      <c r="P19" s="112" t="s">
        <v>244</v>
      </c>
    </row>
    <row r="20" spans="11:16">
      <c r="K20" s="55" t="s">
        <v>60</v>
      </c>
      <c r="O20" s="111" t="s">
        <v>230</v>
      </c>
      <c r="P20" s="112" t="s">
        <v>245</v>
      </c>
    </row>
    <row r="21" spans="11:16">
      <c r="K21" s="55" t="s">
        <v>60</v>
      </c>
      <c r="O21" s="111" t="s">
        <v>231</v>
      </c>
      <c r="P21" s="112" t="s">
        <v>246</v>
      </c>
    </row>
    <row r="22" spans="11:16">
      <c r="K22" s="55" t="s">
        <v>60</v>
      </c>
    </row>
    <row r="23" spans="11:16">
      <c r="K23" s="55" t="s">
        <v>60</v>
      </c>
    </row>
    <row r="24" spans="11:16">
      <c r="K24" s="55" t="s">
        <v>60</v>
      </c>
    </row>
    <row r="25" spans="11:16">
      <c r="K25" s="55" t="s">
        <v>68</v>
      </c>
    </row>
    <row r="26" spans="11:16" ht="45">
      <c r="K26" s="55" t="s">
        <v>68</v>
      </c>
      <c r="O26" s="113" t="s">
        <v>247</v>
      </c>
      <c r="P26" s="112" t="s">
        <v>253</v>
      </c>
    </row>
    <row r="27" spans="11:16" ht="45">
      <c r="K27" s="55" t="s">
        <v>68</v>
      </c>
      <c r="O27" s="113" t="s">
        <v>248</v>
      </c>
      <c r="P27" s="112" t="s">
        <v>254</v>
      </c>
    </row>
    <row r="28" spans="11:16" ht="60">
      <c r="K28" s="55" t="s">
        <v>68</v>
      </c>
      <c r="O28" s="113" t="s">
        <v>249</v>
      </c>
      <c r="P28" s="112" t="s">
        <v>129</v>
      </c>
    </row>
    <row r="29" spans="11:16" ht="45">
      <c r="K29" s="55" t="s">
        <v>68</v>
      </c>
      <c r="O29" s="113" t="s">
        <v>250</v>
      </c>
      <c r="P29" s="112" t="s">
        <v>255</v>
      </c>
    </row>
    <row r="30" spans="11:16" ht="30">
      <c r="K30" s="55" t="s">
        <v>69</v>
      </c>
      <c r="O30" s="113" t="s">
        <v>251</v>
      </c>
      <c r="P30" s="112" t="s">
        <v>256</v>
      </c>
    </row>
    <row r="31" spans="11:16" ht="15">
      <c r="K31" s="55" t="s">
        <v>69</v>
      </c>
      <c r="O31" s="115" t="s">
        <v>252</v>
      </c>
      <c r="P31" s="112" t="s">
        <v>258</v>
      </c>
    </row>
    <row r="32" spans="11:16">
      <c r="K32" s="55" t="s">
        <v>69</v>
      </c>
    </row>
    <row r="33" spans="11:16">
      <c r="K33" s="55" t="s">
        <v>69</v>
      </c>
    </row>
    <row r="34" spans="11:16">
      <c r="K34" s="55" t="s">
        <v>69</v>
      </c>
    </row>
    <row r="35" spans="11:16" ht="15">
      <c r="K35" s="55" t="s">
        <v>73</v>
      </c>
      <c r="O35" s="113" t="s">
        <v>259</v>
      </c>
      <c r="P35" s="112" t="s">
        <v>267</v>
      </c>
    </row>
    <row r="36" spans="11:16" ht="15">
      <c r="K36" s="55" t="s">
        <v>74</v>
      </c>
      <c r="O36" s="113" t="s">
        <v>260</v>
      </c>
      <c r="P36" s="112" t="s">
        <v>268</v>
      </c>
    </row>
    <row r="37" spans="11:16" ht="15">
      <c r="K37" s="55" t="s">
        <v>60</v>
      </c>
      <c r="O37" s="113" t="s">
        <v>261</v>
      </c>
      <c r="P37" s="112" t="s">
        <v>269</v>
      </c>
    </row>
    <row r="38" spans="11:16" ht="15">
      <c r="K38" s="55" t="s">
        <v>68</v>
      </c>
      <c r="O38" s="113" t="s">
        <v>262</v>
      </c>
      <c r="P38" s="112" t="s">
        <v>270</v>
      </c>
    </row>
    <row r="39" spans="11:16" ht="15">
      <c r="K39" s="55" t="s">
        <v>77</v>
      </c>
      <c r="L39" s="114" t="s">
        <v>257</v>
      </c>
      <c r="O39" s="113" t="s">
        <v>263</v>
      </c>
      <c r="P39" s="112" t="s">
        <v>271</v>
      </c>
    </row>
    <row r="40" spans="11:16" ht="15">
      <c r="K40" s="55" t="s">
        <v>78</v>
      </c>
      <c r="O40" s="113" t="s">
        <v>264</v>
      </c>
      <c r="P40" s="112" t="s">
        <v>79</v>
      </c>
    </row>
    <row r="41" spans="11:16" ht="15">
      <c r="K41" s="55" t="s">
        <v>79</v>
      </c>
      <c r="O41" s="113" t="s">
        <v>265</v>
      </c>
      <c r="P41" s="112" t="s">
        <v>272</v>
      </c>
    </row>
    <row r="42" spans="11:16" ht="15">
      <c r="K42" s="55" t="s">
        <v>80</v>
      </c>
      <c r="O42" s="113" t="s">
        <v>266</v>
      </c>
      <c r="P42" s="112" t="s">
        <v>273</v>
      </c>
    </row>
    <row r="43" spans="11:16">
      <c r="K43" s="55" t="s">
        <v>82</v>
      </c>
    </row>
    <row r="44" spans="11:16">
      <c r="K44" s="55" t="s">
        <v>42</v>
      </c>
    </row>
    <row r="45" spans="11:16">
      <c r="K45" s="55" t="s">
        <v>49</v>
      </c>
    </row>
    <row r="46" spans="11:16">
      <c r="K46" s="55" t="s">
        <v>49</v>
      </c>
    </row>
    <row r="47" spans="11:16">
      <c r="K47" s="55" t="s">
        <v>49</v>
      </c>
    </row>
    <row r="48" spans="11:16">
      <c r="K48" s="55" t="s">
        <v>49</v>
      </c>
    </row>
    <row r="49" spans="11:11">
      <c r="K49" s="55" t="s">
        <v>49</v>
      </c>
    </row>
    <row r="50" spans="11:11">
      <c r="K50" s="55" t="s">
        <v>49</v>
      </c>
    </row>
    <row r="51" spans="11:11">
      <c r="K51" s="55" t="s">
        <v>49</v>
      </c>
    </row>
    <row r="52" spans="11:11">
      <c r="K52" s="55" t="s">
        <v>49</v>
      </c>
    </row>
    <row r="53" spans="11:11">
      <c r="K53" s="55" t="s">
        <v>49</v>
      </c>
    </row>
    <row r="54" spans="11:11">
      <c r="K54" s="55" t="s">
        <v>60</v>
      </c>
    </row>
    <row r="55" spans="11:11" ht="28.8">
      <c r="K55" s="55" t="s">
        <v>102</v>
      </c>
    </row>
    <row r="56" spans="11:11">
      <c r="K56" s="55" t="s">
        <v>60</v>
      </c>
    </row>
    <row r="57" spans="11:11" ht="28.8">
      <c r="K57" s="55" t="s">
        <v>102</v>
      </c>
    </row>
    <row r="58" spans="11:11">
      <c r="K58" s="55" t="s">
        <v>60</v>
      </c>
    </row>
    <row r="59" spans="11:11">
      <c r="K59" s="55" t="s">
        <v>109</v>
      </c>
    </row>
    <row r="60" spans="11:11">
      <c r="K60" s="55" t="s">
        <v>60</v>
      </c>
    </row>
    <row r="61" spans="11:11">
      <c r="K61" s="55" t="s">
        <v>109</v>
      </c>
    </row>
    <row r="62" spans="11:11">
      <c r="K62" s="55" t="s">
        <v>60</v>
      </c>
    </row>
    <row r="63" spans="11:11">
      <c r="K63" s="55" t="s">
        <v>109</v>
      </c>
    </row>
    <row r="64" spans="11:11">
      <c r="K64" s="55" t="s">
        <v>42</v>
      </c>
    </row>
    <row r="65" spans="11:11">
      <c r="K65" s="55" t="s">
        <v>117</v>
      </c>
    </row>
    <row r="66" spans="11:11">
      <c r="K66" s="55" t="s">
        <v>118</v>
      </c>
    </row>
    <row r="67" spans="11:11">
      <c r="K67" s="55" t="s">
        <v>120</v>
      </c>
    </row>
    <row r="68" spans="11:11">
      <c r="K68" s="55" t="s">
        <v>123</v>
      </c>
    </row>
    <row r="69" spans="11:11">
      <c r="K69" s="55" t="s">
        <v>49</v>
      </c>
    </row>
    <row r="70" spans="11:11">
      <c r="K70" s="55" t="s">
        <v>49</v>
      </c>
    </row>
    <row r="71" spans="11:11">
      <c r="K71" s="55" t="s">
        <v>127</v>
      </c>
    </row>
    <row r="72" spans="11:11">
      <c r="K72" s="55" t="s">
        <v>129</v>
      </c>
    </row>
    <row r="73" spans="11:11">
      <c r="K73" s="55" t="s">
        <v>130</v>
      </c>
    </row>
    <row r="74" spans="11:11">
      <c r="K74" s="55" t="s">
        <v>42</v>
      </c>
    </row>
    <row r="75" spans="11:11" ht="28.8">
      <c r="K75" s="55" t="s">
        <v>134</v>
      </c>
    </row>
    <row r="76" spans="11:11">
      <c r="K76" s="55" t="s">
        <v>135</v>
      </c>
    </row>
    <row r="77" spans="11:11">
      <c r="K77" s="55" t="s">
        <v>137</v>
      </c>
    </row>
    <row r="78" spans="11:11">
      <c r="K78" s="55" t="s">
        <v>138</v>
      </c>
    </row>
    <row r="79" spans="11:11">
      <c r="K79" s="55" t="s">
        <v>49</v>
      </c>
    </row>
    <row r="80" spans="11:11">
      <c r="K80" s="55" t="s">
        <v>49</v>
      </c>
    </row>
    <row r="81" spans="11:11">
      <c r="K81" s="55" t="s">
        <v>49</v>
      </c>
    </row>
    <row r="82" spans="11:11">
      <c r="K82" s="55" t="s">
        <v>49</v>
      </c>
    </row>
    <row r="83" spans="11:11">
      <c r="K83" s="55" t="s">
        <v>49</v>
      </c>
    </row>
    <row r="84" spans="11:11">
      <c r="K84" s="55" t="s">
        <v>49</v>
      </c>
    </row>
    <row r="85" spans="11:11" ht="28.8">
      <c r="K85" s="55" t="s">
        <v>154</v>
      </c>
    </row>
    <row r="86" spans="11:11" ht="28.8">
      <c r="K86" s="55" t="s">
        <v>154</v>
      </c>
    </row>
    <row r="87" spans="11:11" ht="28.8">
      <c r="K87" s="55" t="s">
        <v>154</v>
      </c>
    </row>
    <row r="88" spans="11:11" ht="28.8">
      <c r="K88" s="55" t="s">
        <v>154</v>
      </c>
    </row>
    <row r="89" spans="11:11">
      <c r="K89" s="55" t="s">
        <v>49</v>
      </c>
    </row>
    <row r="90" spans="11:11">
      <c r="K90" s="55" t="s">
        <v>49</v>
      </c>
    </row>
    <row r="91" spans="11:11">
      <c r="K91" s="55" t="s">
        <v>49</v>
      </c>
    </row>
    <row r="92" spans="11:11" ht="43.2">
      <c r="K92" s="55" t="s">
        <v>166</v>
      </c>
    </row>
    <row r="93" spans="11:11" ht="43.2">
      <c r="K93" s="55" t="s">
        <v>166</v>
      </c>
    </row>
    <row r="94" spans="11:11" ht="43.2">
      <c r="K94" s="55" t="s">
        <v>166</v>
      </c>
    </row>
    <row r="95" spans="11:11" ht="43.2">
      <c r="K95" s="55" t="s">
        <v>166</v>
      </c>
    </row>
    <row r="96" spans="11:11" ht="43.2">
      <c r="K96" s="55" t="s">
        <v>166</v>
      </c>
    </row>
    <row r="97" spans="11:11" ht="43.2">
      <c r="K97" s="55" t="s">
        <v>166</v>
      </c>
    </row>
    <row r="98" spans="11:11">
      <c r="K98" s="55" t="s">
        <v>173</v>
      </c>
    </row>
    <row r="99" spans="11:11">
      <c r="K99" s="55" t="s">
        <v>173</v>
      </c>
    </row>
    <row r="100" spans="11:11">
      <c r="K100" s="55" t="s">
        <v>173</v>
      </c>
    </row>
    <row r="101" spans="11:11">
      <c r="K101" s="55" t="s">
        <v>173</v>
      </c>
    </row>
    <row r="102" spans="11:11">
      <c r="K102" s="55" t="s">
        <v>173</v>
      </c>
    </row>
    <row r="103" spans="11:11">
      <c r="K103" s="55" t="s">
        <v>173</v>
      </c>
    </row>
    <row r="104" spans="11:11" ht="28.8">
      <c r="K104" s="55" t="s">
        <v>174</v>
      </c>
    </row>
    <row r="105" spans="11:11" ht="28.8">
      <c r="K105" s="55" t="s">
        <v>174</v>
      </c>
    </row>
    <row r="106" spans="11:11" ht="28.8">
      <c r="K106" s="55" t="s">
        <v>174</v>
      </c>
    </row>
    <row r="107" spans="11:11" ht="28.8">
      <c r="K107" s="55" t="s">
        <v>174</v>
      </c>
    </row>
    <row r="108" spans="11:11" ht="28.8">
      <c r="K108" s="55" t="s">
        <v>174</v>
      </c>
    </row>
    <row r="109" spans="11:11" ht="28.8">
      <c r="K109" s="55" t="s">
        <v>174</v>
      </c>
    </row>
    <row r="110" spans="11:11">
      <c r="K110" s="55" t="s">
        <v>49</v>
      </c>
    </row>
    <row r="111" spans="11:11">
      <c r="K111" s="55" t="s">
        <v>49</v>
      </c>
    </row>
    <row r="112" spans="11:11">
      <c r="K112" s="55" t="s">
        <v>49</v>
      </c>
    </row>
    <row r="113" spans="11:11">
      <c r="K113" s="55" t="s">
        <v>49</v>
      </c>
    </row>
    <row r="114" spans="11:11">
      <c r="K114" s="55" t="s">
        <v>49</v>
      </c>
    </row>
    <row r="115" spans="11:11">
      <c r="K115" s="55" t="s">
        <v>49</v>
      </c>
    </row>
    <row r="116" spans="11:11">
      <c r="K116" s="55" t="s">
        <v>49</v>
      </c>
    </row>
    <row r="117" spans="11:11">
      <c r="K117" s="55" t="s">
        <v>49</v>
      </c>
    </row>
    <row r="118" spans="11:11">
      <c r="K118" s="55" t="s">
        <v>49</v>
      </c>
    </row>
    <row r="119" spans="11:11">
      <c r="K119" s="55" t="s">
        <v>49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77734375" defaultRowHeight="14.4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42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ASUS</cp:lastModifiedBy>
  <dcterms:created xsi:type="dcterms:W3CDTF">2023-11-06T01:25:00Z</dcterms:created>
  <dcterms:modified xsi:type="dcterms:W3CDTF">2025-12-31T13:23:25Z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F365F57CD782485E828AC6DEBB115948_13</vt:lpwstr>
  </property>
  <property fmtid="{D5CDD505-2E9C-101B-9397-08002B2CF9AE}" pid="3" name="KSOProductBuildVer">
    <vt:lpwstr>1033-12.2.0.23131</vt:lpwstr>
  </property>
</Properties>
</file>